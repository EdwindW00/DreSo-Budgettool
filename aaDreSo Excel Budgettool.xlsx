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https://avans-my.sharepoint.com/personal/rda_vanmook_student_avans_nl/Documents/Minor Consultancy/MKB-project/"/>
    </mc:Choice>
  </mc:AlternateContent>
  <xr:revisionPtr revIDLastSave="0" documentId="8_{F0089C53-ACD0-46C6-B1A5-128787883DCE}" xr6:coauthVersionLast="47" xr6:coauthVersionMax="47" xr10:uidLastSave="{00000000-0000-0000-0000-000000000000}"/>
  <bookViews>
    <workbookView xWindow="-108" yWindow="-108" windowWidth="23256" windowHeight="12456" activeTab="2" xr2:uid="{00000000-000D-0000-FFFF-FFFF00000000}"/>
  </bookViews>
  <sheets>
    <sheet name="Dashboard" sheetId="6" r:id="rId1"/>
    <sheet name="Blad2" sheetId="8" state="hidden" r:id="rId2"/>
    <sheet name="Budget" sheetId="2" r:id="rId3"/>
    <sheet name="Data entry" sheetId="5" r:id="rId4"/>
    <sheet name="Eenheidsprijzenoverzicht" sheetId="3" r:id="rId5"/>
    <sheet name="Report" sheetId="9" r:id="rId6"/>
    <sheet name="Row" sheetId="4" state="hidden" r:id="rId7"/>
  </sheets>
  <definedNames>
    <definedName name="_xlnm._FilterDatabase" localSheetId="3" hidden="1">'Data entry'!$P$1:$P$21</definedName>
    <definedName name="_xlnm._FilterDatabase" localSheetId="6" hidden="1">Row!$A$1:$C$12</definedName>
    <definedName name="_xlnm.Print_Area" localSheetId="0">Dashboard!$A$1:$O$23</definedName>
    <definedName name="_xlnm.Print_Area" localSheetId="5">Report!$A$1</definedName>
    <definedName name="Slicer_Headers">#N/A</definedName>
    <definedName name="Slicer_Subheaders">#N/A</definedName>
  </definedNames>
  <calcPr calcId="191028"/>
  <pivotCaches>
    <pivotCache cacheId="47"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6" l="1"/>
  <c r="A92" i="3"/>
  <c r="B92" i="3"/>
  <c r="C92" i="3"/>
  <c r="F1" i="4" a="1"/>
  <c r="F1" i="4" s="1"/>
  <c r="I18" i="2" s="1"/>
  <c r="B2" i="6"/>
  <c r="J18" i="2" l="1"/>
  <c r="I68" i="2"/>
  <c r="I52" i="2"/>
  <c r="I38" i="2"/>
  <c r="I24" i="2"/>
  <c r="I7" i="2"/>
  <c r="I81" i="2"/>
  <c r="I67" i="2"/>
  <c r="I51" i="2"/>
  <c r="I37" i="2"/>
  <c r="I23" i="2"/>
  <c r="I6" i="2"/>
  <c r="I80" i="2"/>
  <c r="I64" i="2"/>
  <c r="I50" i="2"/>
  <c r="I36" i="2"/>
  <c r="I22" i="2"/>
  <c r="I5" i="2"/>
  <c r="I35" i="2"/>
  <c r="I21" i="2"/>
  <c r="I4" i="2"/>
  <c r="I76" i="2"/>
  <c r="I62" i="2"/>
  <c r="I48" i="2"/>
  <c r="I34" i="2"/>
  <c r="I20" i="2"/>
  <c r="I82" i="2"/>
  <c r="I2" i="2"/>
  <c r="I75" i="2"/>
  <c r="I61" i="2"/>
  <c r="I47" i="2"/>
  <c r="I33" i="2"/>
  <c r="I88" i="2"/>
  <c r="I74" i="2"/>
  <c r="I60" i="2"/>
  <c r="I46" i="2"/>
  <c r="I32" i="2"/>
  <c r="I17" i="2"/>
  <c r="I87" i="2"/>
  <c r="I73" i="2"/>
  <c r="I59" i="2"/>
  <c r="I45" i="2"/>
  <c r="I31" i="2"/>
  <c r="I16" i="2"/>
  <c r="I12" i="2"/>
  <c r="I86" i="2"/>
  <c r="I72" i="2"/>
  <c r="I58" i="2"/>
  <c r="I44" i="2"/>
  <c r="I28" i="2"/>
  <c r="I15" i="2"/>
  <c r="I63" i="2"/>
  <c r="I11" i="2"/>
  <c r="I85" i="2"/>
  <c r="I71" i="2"/>
  <c r="I57" i="2"/>
  <c r="I43" i="2"/>
  <c r="I27" i="2"/>
  <c r="I14" i="2"/>
  <c r="I8" i="2"/>
  <c r="I49" i="2"/>
  <c r="I10" i="2"/>
  <c r="I84" i="2"/>
  <c r="I70" i="2"/>
  <c r="I56" i="2"/>
  <c r="I40" i="2"/>
  <c r="I26" i="2"/>
  <c r="I13" i="2"/>
  <c r="I79" i="2"/>
  <c r="I9" i="2"/>
  <c r="I83" i="2"/>
  <c r="I69" i="2"/>
  <c r="I55" i="2"/>
  <c r="I39" i="2"/>
  <c r="I25" i="2"/>
  <c r="I3" i="2"/>
  <c r="I90" i="2"/>
  <c r="I78" i="2"/>
  <c r="I66" i="2"/>
  <c r="I54" i="2"/>
  <c r="I42" i="2"/>
  <c r="I30" i="2"/>
  <c r="I19" i="2"/>
  <c r="D19" i="3" s="1"/>
  <c r="I89" i="2"/>
  <c r="I77" i="2"/>
  <c r="I65" i="2"/>
  <c r="I53" i="2"/>
  <c r="I41" i="2"/>
  <c r="I29" i="2"/>
  <c r="D90" i="3" l="1"/>
  <c r="J88" i="2"/>
  <c r="D78" i="3"/>
  <c r="J76" i="2"/>
  <c r="D39" i="3"/>
  <c r="J37" i="2"/>
  <c r="D85" i="3"/>
  <c r="J83" i="2"/>
  <c r="D50" i="3"/>
  <c r="J48" i="2"/>
  <c r="D29" i="3"/>
  <c r="J27" i="2"/>
  <c r="D25" i="3"/>
  <c r="J23" i="2"/>
  <c r="D13" i="3"/>
  <c r="J12" i="2"/>
  <c r="D56" i="3"/>
  <c r="J54" i="2"/>
  <c r="D14" i="3"/>
  <c r="J13" i="2"/>
  <c r="D59" i="3"/>
  <c r="J57" i="2"/>
  <c r="D17" i="3"/>
  <c r="J16" i="2"/>
  <c r="D21" i="3"/>
  <c r="D5" i="3"/>
  <c r="J4" i="2"/>
  <c r="D53" i="3"/>
  <c r="J51" i="2"/>
  <c r="D68" i="3"/>
  <c r="J66" i="2"/>
  <c r="D28" i="3"/>
  <c r="J26" i="2"/>
  <c r="D73" i="3"/>
  <c r="J71" i="2"/>
  <c r="D33" i="3"/>
  <c r="J31" i="2"/>
  <c r="D35" i="3"/>
  <c r="J33" i="2"/>
  <c r="D23" i="3"/>
  <c r="J21" i="2"/>
  <c r="D69" i="3"/>
  <c r="J67" i="2"/>
  <c r="D20" i="3"/>
  <c r="J19" i="2"/>
  <c r="D31" i="3"/>
  <c r="J29" i="2"/>
  <c r="D49" i="3"/>
  <c r="J47" i="2"/>
  <c r="D83" i="3"/>
  <c r="J81" i="2"/>
  <c r="D8" i="3"/>
  <c r="J7" i="2"/>
  <c r="D15" i="3"/>
  <c r="J14" i="2"/>
  <c r="D7" i="3"/>
  <c r="J6" i="2"/>
  <c r="D32" i="3"/>
  <c r="J30" i="2"/>
  <c r="D88" i="3"/>
  <c r="J86" i="2"/>
  <c r="D64" i="3"/>
  <c r="J62" i="2"/>
  <c r="D44" i="3"/>
  <c r="J42" i="2"/>
  <c r="D45" i="3"/>
  <c r="J43" i="2"/>
  <c r="D80" i="3"/>
  <c r="J78" i="2"/>
  <c r="D42" i="3"/>
  <c r="J40" i="2"/>
  <c r="D87" i="3"/>
  <c r="J85" i="2"/>
  <c r="D37" i="3"/>
  <c r="J35" i="2"/>
  <c r="D92" i="3"/>
  <c r="J90" i="2"/>
  <c r="D58" i="3"/>
  <c r="J56" i="2"/>
  <c r="D61" i="3"/>
  <c r="J59" i="2"/>
  <c r="D6" i="3"/>
  <c r="J5" i="2"/>
  <c r="D55" i="3"/>
  <c r="J53" i="2"/>
  <c r="D4" i="3"/>
  <c r="J3" i="2"/>
  <c r="D72" i="3"/>
  <c r="J70" i="2"/>
  <c r="D65" i="3"/>
  <c r="J63" i="2"/>
  <c r="D75" i="3"/>
  <c r="J73" i="2"/>
  <c r="D77" i="3"/>
  <c r="J75" i="2"/>
  <c r="D24" i="3"/>
  <c r="J22" i="2"/>
  <c r="D26" i="3"/>
  <c r="J24" i="2"/>
  <c r="D47" i="3"/>
  <c r="J45" i="2"/>
  <c r="D43" i="3"/>
  <c r="J41" i="2"/>
  <c r="D12" i="3"/>
  <c r="J11" i="2"/>
  <c r="D63" i="3"/>
  <c r="J61" i="2"/>
  <c r="D67" i="3"/>
  <c r="J65" i="2"/>
  <c r="D27" i="3"/>
  <c r="J25" i="2"/>
  <c r="D86" i="3"/>
  <c r="J84" i="2"/>
  <c r="D16" i="3"/>
  <c r="J15" i="2"/>
  <c r="D89" i="3"/>
  <c r="J87" i="2"/>
  <c r="D3" i="3"/>
  <c r="J2" i="2"/>
  <c r="D38" i="3"/>
  <c r="J36" i="2"/>
  <c r="D40" i="3"/>
  <c r="J38" i="2"/>
  <c r="D11" i="3"/>
  <c r="J10" i="2"/>
  <c r="D54" i="3"/>
  <c r="J52" i="2"/>
  <c r="D91" i="3"/>
  <c r="J89" i="2"/>
  <c r="D57" i="3"/>
  <c r="J55" i="2"/>
  <c r="D51" i="3"/>
  <c r="J49" i="2"/>
  <c r="D46" i="3"/>
  <c r="J44" i="2"/>
  <c r="D34" i="3"/>
  <c r="J32" i="2"/>
  <c r="D22" i="3"/>
  <c r="J20" i="2"/>
  <c r="D66" i="3"/>
  <c r="J64" i="2"/>
  <c r="D70" i="3"/>
  <c r="J68" i="2"/>
  <c r="D74" i="3"/>
  <c r="J72" i="2"/>
  <c r="D62" i="3"/>
  <c r="J60" i="2"/>
  <c r="D10" i="3"/>
  <c r="J9" i="2"/>
  <c r="D76" i="3"/>
  <c r="J74" i="2"/>
  <c r="D81" i="3"/>
  <c r="J79" i="2"/>
  <c r="D79" i="3"/>
  <c r="J77" i="2"/>
  <c r="D41" i="3"/>
  <c r="J39" i="2"/>
  <c r="D30" i="3"/>
  <c r="J28" i="2"/>
  <c r="D18" i="3"/>
  <c r="J17" i="2"/>
  <c r="D84" i="3"/>
  <c r="J82" i="2"/>
  <c r="D52" i="3"/>
  <c r="J50" i="2"/>
  <c r="D2" i="3"/>
  <c r="D71" i="3"/>
  <c r="J69" i="2"/>
  <c r="D9" i="3"/>
  <c r="J8" i="2"/>
  <c r="D60" i="3"/>
  <c r="J58" i="2"/>
  <c r="D48" i="3"/>
  <c r="J46" i="2"/>
  <c r="D36" i="3"/>
  <c r="J34" i="2"/>
  <c r="D82" i="3"/>
  <c r="J80" i="2"/>
  <c r="J91" i="2" l="1"/>
  <c r="E14" i="6" l="1"/>
  <c r="B6" i="6"/>
  <c r="B7" i="6" s="1"/>
  <c r="E15" i="6" l="1"/>
  <c r="F15" i="6" s="1"/>
  <c r="F14" i="6"/>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2" i="5"/>
  <c r="C3" i="5"/>
  <c r="C4" i="5"/>
  <c r="C5" i="5"/>
  <c r="C6" i="5"/>
  <c r="N2" i="5"/>
  <c r="A2" i="5"/>
  <c r="Q12" i="5"/>
  <c r="B2" i="5" l="1"/>
  <c r="Q2" i="5"/>
  <c r="Q3" i="5"/>
  <c r="R3" i="5" s="1"/>
  <c r="Q4" i="5"/>
  <c r="R4" i="5" s="1"/>
  <c r="Q5" i="5"/>
  <c r="R5" i="5" s="1"/>
  <c r="Q6" i="5"/>
  <c r="R6" i="5" s="1"/>
  <c r="Q7" i="5"/>
  <c r="R7" i="5" s="1"/>
  <c r="Q8" i="5"/>
  <c r="R8" i="5" s="1"/>
  <c r="Q9" i="5"/>
  <c r="R9" i="5" s="1"/>
  <c r="Q10" i="5"/>
  <c r="R10" i="5" s="1"/>
  <c r="Q11" i="5"/>
  <c r="R11" i="5" s="1"/>
  <c r="R12" i="5"/>
  <c r="Q13" i="5"/>
  <c r="R13" i="5" s="1"/>
  <c r="Q14" i="5"/>
  <c r="R14" i="5" s="1"/>
  <c r="Q15" i="5"/>
  <c r="R15" i="5" s="1"/>
  <c r="Q16" i="5"/>
  <c r="R16" i="5" s="1"/>
  <c r="Q17" i="5"/>
  <c r="R17" i="5" s="1"/>
  <c r="Q18" i="5"/>
  <c r="R18" i="5" s="1"/>
  <c r="Q19" i="5"/>
  <c r="R19" i="5" s="1"/>
  <c r="Q20" i="5"/>
  <c r="R20" i="5" s="1"/>
  <c r="Q21" i="5"/>
  <c r="R21" i="5" s="1"/>
  <c r="Q22" i="5"/>
  <c r="R22" i="5" s="1"/>
  <c r="R2" i="5"/>
  <c r="N3" i="5"/>
  <c r="N4" i="5"/>
  <c r="N5" i="5"/>
  <c r="N6" i="5"/>
  <c r="N7" i="5"/>
  <c r="N8" i="5"/>
  <c r="N9" i="5"/>
  <c r="A22" i="5"/>
  <c r="B22" i="5" s="1"/>
  <c r="A23" i="5"/>
  <c r="B23" i="5" s="1"/>
  <c r="A24" i="5"/>
  <c r="B24" i="5" s="1"/>
  <c r="A25" i="5"/>
  <c r="B25" i="5" s="1"/>
  <c r="A5" i="5"/>
  <c r="A6" i="5"/>
  <c r="A7" i="5"/>
  <c r="A8" i="5"/>
  <c r="A9" i="5"/>
  <c r="A10" i="5"/>
  <c r="A11" i="5"/>
  <c r="A12" i="5"/>
  <c r="A13" i="5"/>
  <c r="B13" i="5" s="1"/>
  <c r="A14" i="5"/>
  <c r="A15" i="5"/>
  <c r="A16" i="5"/>
  <c r="A17" i="5"/>
  <c r="A18" i="5"/>
  <c r="A19" i="5"/>
  <c r="A20" i="5"/>
  <c r="A21" i="5"/>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A165" i="5"/>
  <c r="B165" i="5" s="1"/>
  <c r="A166" i="5"/>
  <c r="B166" i="5" s="1"/>
  <c r="A167" i="5"/>
  <c r="B167" i="5" s="1"/>
  <c r="A168" i="5"/>
  <c r="B168" i="5" s="1"/>
  <c r="A169" i="5"/>
  <c r="B169" i="5" s="1"/>
  <c r="A170" i="5"/>
  <c r="B170" i="5" s="1"/>
  <c r="A171" i="5"/>
  <c r="B171" i="5" s="1"/>
  <c r="A172" i="5"/>
  <c r="B172" i="5" s="1"/>
  <c r="A173" i="5"/>
  <c r="B173" i="5" s="1"/>
  <c r="A174" i="5"/>
  <c r="B174" i="5" s="1"/>
  <c r="A175" i="5"/>
  <c r="B175" i="5" s="1"/>
  <c r="A176" i="5"/>
  <c r="B176" i="5" s="1"/>
  <c r="A177" i="5"/>
  <c r="B177" i="5" s="1"/>
  <c r="A178" i="5"/>
  <c r="B178" i="5" s="1"/>
  <c r="A179" i="5"/>
  <c r="B179" i="5" s="1"/>
  <c r="A180" i="5"/>
  <c r="B180" i="5" s="1"/>
  <c r="A181" i="5"/>
  <c r="B181" i="5" s="1"/>
  <c r="A182" i="5"/>
  <c r="B182" i="5" s="1"/>
  <c r="A183" i="5"/>
  <c r="B183" i="5" s="1"/>
  <c r="A184" i="5"/>
  <c r="B184" i="5" s="1"/>
  <c r="A185" i="5"/>
  <c r="B185" i="5" s="1"/>
  <c r="A186" i="5"/>
  <c r="B186" i="5" s="1"/>
  <c r="A187" i="5"/>
  <c r="B187" i="5" s="1"/>
  <c r="A188" i="5"/>
  <c r="B188" i="5" s="1"/>
  <c r="A189" i="5"/>
  <c r="B189" i="5" s="1"/>
  <c r="A190" i="5"/>
  <c r="B190" i="5" s="1"/>
  <c r="A191" i="5"/>
  <c r="B191" i="5" s="1"/>
  <c r="A192" i="5"/>
  <c r="B192" i="5" s="1"/>
  <c r="A193" i="5"/>
  <c r="B193" i="5" s="1"/>
  <c r="A194" i="5"/>
  <c r="B194" i="5" s="1"/>
  <c r="A195" i="5"/>
  <c r="B195" i="5" s="1"/>
  <c r="A196" i="5"/>
  <c r="B196" i="5" s="1"/>
  <c r="A197" i="5"/>
  <c r="B197" i="5" s="1"/>
  <c r="A198" i="5"/>
  <c r="B198" i="5" s="1"/>
  <c r="A199" i="5"/>
  <c r="B199" i="5" s="1"/>
  <c r="A200" i="5"/>
  <c r="B200" i="5" s="1"/>
  <c r="A201" i="5"/>
  <c r="B201" i="5" s="1"/>
  <c r="A202" i="5"/>
  <c r="B202" i="5" s="1"/>
  <c r="A203" i="5"/>
  <c r="B203" i="5" s="1"/>
  <c r="A204" i="5"/>
  <c r="B204" i="5" s="1"/>
  <c r="A205" i="5"/>
  <c r="B205" i="5" s="1"/>
  <c r="A206" i="5"/>
  <c r="B206" i="5" s="1"/>
  <c r="A207" i="5"/>
  <c r="B207" i="5" s="1"/>
  <c r="A208" i="5"/>
  <c r="B208" i="5" s="1"/>
  <c r="A209" i="5"/>
  <c r="B209" i="5" s="1"/>
  <c r="A210" i="5"/>
  <c r="B210" i="5" s="1"/>
  <c r="A211" i="5"/>
  <c r="B211" i="5" s="1"/>
  <c r="A212" i="5"/>
  <c r="B212" i="5" s="1"/>
  <c r="A213" i="5"/>
  <c r="B213" i="5" s="1"/>
  <c r="A214" i="5"/>
  <c r="B214" i="5" s="1"/>
  <c r="A215" i="5"/>
  <c r="B215" i="5" s="1"/>
  <c r="A216" i="5"/>
  <c r="B216" i="5" s="1"/>
  <c r="A217" i="5"/>
  <c r="B217" i="5" s="1"/>
  <c r="A218" i="5"/>
  <c r="B218" i="5" s="1"/>
  <c r="A219" i="5"/>
  <c r="B219" i="5" s="1"/>
  <c r="A220" i="5"/>
  <c r="B220" i="5" s="1"/>
  <c r="A221" i="5"/>
  <c r="B221" i="5" s="1"/>
  <c r="A222" i="5"/>
  <c r="B222" i="5" s="1"/>
  <c r="A223" i="5"/>
  <c r="B223" i="5" s="1"/>
  <c r="A224" i="5"/>
  <c r="B224" i="5" s="1"/>
  <c r="A225" i="5"/>
  <c r="B225" i="5" s="1"/>
  <c r="A226" i="5"/>
  <c r="B226" i="5" s="1"/>
  <c r="A227" i="5"/>
  <c r="B227" i="5" s="1"/>
  <c r="A228" i="5"/>
  <c r="B228" i="5" s="1"/>
  <c r="A229" i="5"/>
  <c r="B229" i="5" s="1"/>
  <c r="A230" i="5"/>
  <c r="B230" i="5" s="1"/>
  <c r="A231" i="5"/>
  <c r="B231" i="5" s="1"/>
  <c r="A232" i="5"/>
  <c r="B232" i="5" s="1"/>
  <c r="A233" i="5"/>
  <c r="B233" i="5" s="1"/>
  <c r="A234" i="5"/>
  <c r="B234" i="5" s="1"/>
  <c r="A235" i="5"/>
  <c r="B235" i="5" s="1"/>
  <c r="A236" i="5"/>
  <c r="B236" i="5" s="1"/>
  <c r="A237" i="5"/>
  <c r="B237" i="5" s="1"/>
  <c r="A238" i="5"/>
  <c r="B238" i="5" s="1"/>
  <c r="A239" i="5"/>
  <c r="B239" i="5" s="1"/>
  <c r="A240" i="5"/>
  <c r="B240" i="5" s="1"/>
  <c r="A241" i="5"/>
  <c r="B241" i="5" s="1"/>
  <c r="A242" i="5"/>
  <c r="B242" i="5" s="1"/>
  <c r="A243" i="5"/>
  <c r="B243" i="5" s="1"/>
  <c r="A244" i="5"/>
  <c r="B244" i="5" s="1"/>
  <c r="A245" i="5"/>
  <c r="B245" i="5" s="1"/>
  <c r="A246" i="5"/>
  <c r="B246" i="5" s="1"/>
  <c r="A247" i="5"/>
  <c r="B247" i="5" s="1"/>
  <c r="A248" i="5"/>
  <c r="B248" i="5" s="1"/>
  <c r="A249" i="5"/>
  <c r="B249" i="5" s="1"/>
  <c r="A250" i="5"/>
  <c r="B250" i="5" s="1"/>
  <c r="A251" i="5"/>
  <c r="B251" i="5" s="1"/>
  <c r="A252" i="5"/>
  <c r="B252" i="5" s="1"/>
  <c r="A253" i="5"/>
  <c r="B253" i="5" s="1"/>
  <c r="A254" i="5"/>
  <c r="B254" i="5" s="1"/>
  <c r="A255" i="5"/>
  <c r="B255" i="5" s="1"/>
  <c r="A256" i="5"/>
  <c r="B256" i="5" s="1"/>
  <c r="A257" i="5"/>
  <c r="B257" i="5" s="1"/>
  <c r="A258" i="5"/>
  <c r="B258" i="5" s="1"/>
  <c r="A259" i="5"/>
  <c r="B259" i="5" s="1"/>
  <c r="A260" i="5"/>
  <c r="B260" i="5" s="1"/>
  <c r="A261" i="5"/>
  <c r="B261" i="5" s="1"/>
  <c r="A262" i="5"/>
  <c r="B262" i="5" s="1"/>
  <c r="A263" i="5"/>
  <c r="B263" i="5" s="1"/>
  <c r="A264" i="5"/>
  <c r="B264" i="5" s="1"/>
  <c r="A265" i="5"/>
  <c r="B265" i="5" s="1"/>
  <c r="A266" i="5"/>
  <c r="B266" i="5" s="1"/>
  <c r="A267" i="5"/>
  <c r="B267" i="5" s="1"/>
  <c r="A268" i="5"/>
  <c r="B268" i="5" s="1"/>
  <c r="A269" i="5"/>
  <c r="B269" i="5" s="1"/>
  <c r="A270" i="5"/>
  <c r="B270" i="5" s="1"/>
  <c r="A271" i="5"/>
  <c r="B271" i="5" s="1"/>
  <c r="A272" i="5"/>
  <c r="B272" i="5" s="1"/>
  <c r="A273" i="5"/>
  <c r="B273" i="5" s="1"/>
  <c r="A274" i="5"/>
  <c r="B274" i="5" s="1"/>
  <c r="A275" i="5"/>
  <c r="B275" i="5" s="1"/>
  <c r="A276" i="5"/>
  <c r="B276" i="5" s="1"/>
  <c r="A277" i="5"/>
  <c r="B277" i="5" s="1"/>
  <c r="A278" i="5"/>
  <c r="B278" i="5" s="1"/>
  <c r="A279" i="5"/>
  <c r="B279" i="5" s="1"/>
  <c r="A280" i="5"/>
  <c r="B280" i="5" s="1"/>
  <c r="A281" i="5"/>
  <c r="B281" i="5" s="1"/>
  <c r="A282" i="5"/>
  <c r="B282" i="5" s="1"/>
  <c r="A283" i="5"/>
  <c r="B283" i="5" s="1"/>
  <c r="A284" i="5"/>
  <c r="B284" i="5" s="1"/>
  <c r="A285" i="5"/>
  <c r="B285" i="5" s="1"/>
  <c r="A286" i="5"/>
  <c r="B286" i="5" s="1"/>
  <c r="A287" i="5"/>
  <c r="B287" i="5" s="1"/>
  <c r="A288" i="5"/>
  <c r="B288" i="5" s="1"/>
  <c r="A289" i="5"/>
  <c r="B289" i="5" s="1"/>
  <c r="A290" i="5"/>
  <c r="B290" i="5" s="1"/>
  <c r="A291" i="5"/>
  <c r="B291" i="5" s="1"/>
  <c r="A292" i="5"/>
  <c r="B292" i="5" s="1"/>
  <c r="A293" i="5"/>
  <c r="B293" i="5" s="1"/>
  <c r="A294" i="5"/>
  <c r="B294" i="5" s="1"/>
  <c r="A295" i="5"/>
  <c r="B295" i="5" s="1"/>
  <c r="A296" i="5"/>
  <c r="B296" i="5" s="1"/>
  <c r="A297" i="5"/>
  <c r="B297" i="5" s="1"/>
  <c r="A298" i="5"/>
  <c r="B298" i="5" s="1"/>
  <c r="A299" i="5"/>
  <c r="B299" i="5" s="1"/>
  <c r="A300" i="5"/>
  <c r="B300" i="5" s="1"/>
  <c r="A301" i="5"/>
  <c r="B301" i="5" s="1"/>
  <c r="A302" i="5"/>
  <c r="B302" i="5" s="1"/>
  <c r="A303" i="5"/>
  <c r="B303" i="5" s="1"/>
  <c r="A304" i="5"/>
  <c r="B304" i="5" s="1"/>
  <c r="A305" i="5"/>
  <c r="B305" i="5" s="1"/>
  <c r="A306" i="5"/>
  <c r="B306" i="5" s="1"/>
  <c r="A307" i="5"/>
  <c r="B307" i="5" s="1"/>
  <c r="A308" i="5"/>
  <c r="B308" i="5" s="1"/>
  <c r="A309" i="5"/>
  <c r="B309" i="5" s="1"/>
  <c r="A310" i="5"/>
  <c r="B310" i="5" s="1"/>
  <c r="A311" i="5"/>
  <c r="B311" i="5" s="1"/>
  <c r="A312" i="5"/>
  <c r="B312" i="5" s="1"/>
  <c r="A313" i="5"/>
  <c r="B313" i="5" s="1"/>
  <c r="A314" i="5"/>
  <c r="B314" i="5" s="1"/>
  <c r="A315" i="5"/>
  <c r="B315" i="5" s="1"/>
  <c r="A316" i="5"/>
  <c r="B316" i="5" s="1"/>
  <c r="A317" i="5"/>
  <c r="B317" i="5" s="1"/>
  <c r="A318" i="5"/>
  <c r="B318" i="5" s="1"/>
  <c r="A319" i="5"/>
  <c r="B319" i="5" s="1"/>
  <c r="A320" i="5"/>
  <c r="B320" i="5" s="1"/>
  <c r="A321" i="5"/>
  <c r="B321" i="5" s="1"/>
  <c r="A322" i="5"/>
  <c r="B322" i="5" s="1"/>
  <c r="A323" i="5"/>
  <c r="B323" i="5" s="1"/>
  <c r="A324" i="5"/>
  <c r="B324" i="5" s="1"/>
  <c r="A325" i="5"/>
  <c r="B325" i="5" s="1"/>
  <c r="A326" i="5"/>
  <c r="B326" i="5" s="1"/>
  <c r="A327" i="5"/>
  <c r="B327" i="5" s="1"/>
  <c r="A328" i="5"/>
  <c r="B328" i="5" s="1"/>
  <c r="A329" i="5"/>
  <c r="B329" i="5" s="1"/>
  <c r="A330" i="5"/>
  <c r="B330" i="5" s="1"/>
  <c r="A331" i="5"/>
  <c r="B331" i="5" s="1"/>
  <c r="A332" i="5"/>
  <c r="B332" i="5" s="1"/>
  <c r="A333" i="5"/>
  <c r="B333" i="5" s="1"/>
  <c r="A334" i="5"/>
  <c r="B334" i="5" s="1"/>
  <c r="A335" i="5"/>
  <c r="B335" i="5" s="1"/>
  <c r="A336" i="5"/>
  <c r="B336" i="5" s="1"/>
  <c r="A337" i="5"/>
  <c r="B337" i="5" s="1"/>
  <c r="A338" i="5"/>
  <c r="B338" i="5" s="1"/>
  <c r="A339" i="5"/>
  <c r="B339" i="5" s="1"/>
  <c r="A340" i="5"/>
  <c r="B340" i="5" s="1"/>
  <c r="A341" i="5"/>
  <c r="B341" i="5" s="1"/>
  <c r="A342" i="5"/>
  <c r="B342" i="5" s="1"/>
  <c r="A343" i="5"/>
  <c r="B343" i="5" s="1"/>
  <c r="A344" i="5"/>
  <c r="B344" i="5" s="1"/>
  <c r="A345" i="5"/>
  <c r="B345" i="5" s="1"/>
  <c r="A346" i="5"/>
  <c r="B346" i="5" s="1"/>
  <c r="A347" i="5"/>
  <c r="B347" i="5" s="1"/>
  <c r="A348" i="5"/>
  <c r="B348" i="5" s="1"/>
  <c r="A349" i="5"/>
  <c r="B349" i="5" s="1"/>
  <c r="A350" i="5"/>
  <c r="B350" i="5" s="1"/>
  <c r="A351" i="5"/>
  <c r="B351" i="5" s="1"/>
  <c r="A352" i="5"/>
  <c r="B352" i="5" s="1"/>
  <c r="A353" i="5"/>
  <c r="B353" i="5" s="1"/>
  <c r="A354" i="5"/>
  <c r="B354" i="5" s="1"/>
  <c r="A355" i="5"/>
  <c r="B355" i="5" s="1"/>
  <c r="A356" i="5"/>
  <c r="B356" i="5" s="1"/>
  <c r="A357" i="5"/>
  <c r="B357" i="5" s="1"/>
  <c r="A358" i="5"/>
  <c r="B358" i="5" s="1"/>
  <c r="A359" i="5"/>
  <c r="B359" i="5" s="1"/>
  <c r="A360" i="5"/>
  <c r="B360" i="5" s="1"/>
  <c r="A361" i="5"/>
  <c r="B361" i="5" s="1"/>
  <c r="A362" i="5"/>
  <c r="B362" i="5" s="1"/>
  <c r="A363" i="5"/>
  <c r="B363" i="5" s="1"/>
  <c r="A364" i="5"/>
  <c r="B364" i="5" s="1"/>
  <c r="A365" i="5"/>
  <c r="B365" i="5" s="1"/>
  <c r="A366" i="5"/>
  <c r="B366" i="5" s="1"/>
  <c r="A367" i="5"/>
  <c r="B367" i="5" s="1"/>
  <c r="A368" i="5"/>
  <c r="B368" i="5" s="1"/>
  <c r="A369" i="5"/>
  <c r="B369" i="5" s="1"/>
  <c r="A370" i="5"/>
  <c r="B370" i="5" s="1"/>
  <c r="A371" i="5"/>
  <c r="B371" i="5" s="1"/>
  <c r="A372" i="5"/>
  <c r="B372" i="5" s="1"/>
  <c r="A373" i="5"/>
  <c r="B373" i="5" s="1"/>
  <c r="A374" i="5"/>
  <c r="B374" i="5" s="1"/>
  <c r="A375" i="5"/>
  <c r="B375" i="5" s="1"/>
  <c r="A376" i="5"/>
  <c r="B376" i="5" s="1"/>
  <c r="A377" i="5"/>
  <c r="B377" i="5" s="1"/>
  <c r="A378" i="5"/>
  <c r="B378" i="5" s="1"/>
  <c r="A379" i="5"/>
  <c r="B379" i="5" s="1"/>
  <c r="A380" i="5"/>
  <c r="B380" i="5" s="1"/>
  <c r="A381" i="5"/>
  <c r="B381" i="5" s="1"/>
  <c r="A382" i="5"/>
  <c r="B382" i="5" s="1"/>
  <c r="A383" i="5"/>
  <c r="B383" i="5" s="1"/>
  <c r="A384" i="5"/>
  <c r="B384" i="5" s="1"/>
  <c r="A385" i="5"/>
  <c r="B385" i="5" s="1"/>
  <c r="A386" i="5"/>
  <c r="B386" i="5" s="1"/>
  <c r="A387" i="5"/>
  <c r="B387" i="5" s="1"/>
  <c r="A388" i="5"/>
  <c r="B388" i="5" s="1"/>
  <c r="A389" i="5"/>
  <c r="B389" i="5" s="1"/>
  <c r="A390" i="5"/>
  <c r="B390" i="5" s="1"/>
  <c r="A391" i="5"/>
  <c r="B391" i="5" s="1"/>
  <c r="A392" i="5"/>
  <c r="B392" i="5" s="1"/>
  <c r="A393" i="5"/>
  <c r="B393" i="5" s="1"/>
  <c r="A394" i="5"/>
  <c r="B394" i="5" s="1"/>
  <c r="A395" i="5"/>
  <c r="B395" i="5" s="1"/>
  <c r="A396" i="5"/>
  <c r="B396" i="5" s="1"/>
  <c r="A397" i="5"/>
  <c r="B397" i="5" s="1"/>
  <c r="A398" i="5"/>
  <c r="B398" i="5" s="1"/>
  <c r="A399" i="5"/>
  <c r="B399" i="5" s="1"/>
  <c r="A400" i="5"/>
  <c r="B400" i="5" s="1"/>
  <c r="A401" i="5"/>
  <c r="B401" i="5" s="1"/>
  <c r="A402" i="5"/>
  <c r="B402" i="5" s="1"/>
  <c r="A403" i="5"/>
  <c r="B403" i="5" s="1"/>
  <c r="A404" i="5"/>
  <c r="B404" i="5" s="1"/>
  <c r="A405" i="5"/>
  <c r="B405" i="5" s="1"/>
  <c r="A406" i="5"/>
  <c r="B406" i="5" s="1"/>
  <c r="A407" i="5"/>
  <c r="B407" i="5" s="1"/>
  <c r="A408" i="5"/>
  <c r="B408" i="5" s="1"/>
  <c r="A409" i="5"/>
  <c r="B409" i="5" s="1"/>
  <c r="A410" i="5"/>
  <c r="B410" i="5" s="1"/>
  <c r="A411" i="5"/>
  <c r="B411" i="5" s="1"/>
  <c r="A412" i="5"/>
  <c r="B412" i="5" s="1"/>
  <c r="A413" i="5"/>
  <c r="B413" i="5" s="1"/>
  <c r="A414" i="5"/>
  <c r="B414" i="5" s="1"/>
  <c r="A415" i="5"/>
  <c r="B415" i="5" s="1"/>
  <c r="A416" i="5"/>
  <c r="B416" i="5" s="1"/>
  <c r="A417" i="5"/>
  <c r="B417" i="5" s="1"/>
  <c r="A418" i="5"/>
  <c r="B418" i="5" s="1"/>
  <c r="A419" i="5"/>
  <c r="B419" i="5" s="1"/>
  <c r="A420" i="5"/>
  <c r="B420" i="5" s="1"/>
  <c r="A421" i="5"/>
  <c r="B421" i="5" s="1"/>
  <c r="A422" i="5"/>
  <c r="B422" i="5" s="1"/>
  <c r="A423" i="5"/>
  <c r="B423" i="5" s="1"/>
  <c r="A424" i="5"/>
  <c r="B424" i="5" s="1"/>
  <c r="A425" i="5"/>
  <c r="B425" i="5" s="1"/>
  <c r="A426" i="5"/>
  <c r="B426" i="5" s="1"/>
  <c r="A427" i="5"/>
  <c r="B427" i="5" s="1"/>
  <c r="A428" i="5"/>
  <c r="B428" i="5" s="1"/>
  <c r="A429" i="5"/>
  <c r="B429" i="5" s="1"/>
  <c r="A430" i="5"/>
  <c r="B430" i="5" s="1"/>
  <c r="A431" i="5"/>
  <c r="B431" i="5" s="1"/>
  <c r="A432" i="5"/>
  <c r="B432" i="5" s="1"/>
  <c r="A433" i="5"/>
  <c r="B433" i="5" s="1"/>
  <c r="A434" i="5"/>
  <c r="B434" i="5" s="1"/>
  <c r="A435" i="5"/>
  <c r="B435" i="5" s="1"/>
  <c r="A436" i="5"/>
  <c r="B436" i="5" s="1"/>
  <c r="A437" i="5"/>
  <c r="B437" i="5" s="1"/>
  <c r="A438" i="5"/>
  <c r="B438" i="5" s="1"/>
  <c r="A439" i="5"/>
  <c r="B439" i="5" s="1"/>
  <c r="A440" i="5"/>
  <c r="B440" i="5" s="1"/>
  <c r="A441" i="5"/>
  <c r="B441" i="5" s="1"/>
  <c r="A442" i="5"/>
  <c r="B442" i="5" s="1"/>
  <c r="A443" i="5"/>
  <c r="B443" i="5" s="1"/>
  <c r="A444" i="5"/>
  <c r="B444" i="5" s="1"/>
  <c r="A445" i="5"/>
  <c r="B445" i="5" s="1"/>
  <c r="A446" i="5"/>
  <c r="B446" i="5" s="1"/>
  <c r="A447" i="5"/>
  <c r="B447" i="5" s="1"/>
  <c r="A448" i="5"/>
  <c r="B448" i="5" s="1"/>
  <c r="A449" i="5"/>
  <c r="B449" i="5" s="1"/>
  <c r="A450" i="5"/>
  <c r="B450" i="5" s="1"/>
  <c r="A451" i="5"/>
  <c r="B451" i="5" s="1"/>
  <c r="A452" i="5"/>
  <c r="B452" i="5" s="1"/>
  <c r="A453" i="5"/>
  <c r="B453" i="5" s="1"/>
  <c r="A454" i="5"/>
  <c r="B454" i="5" s="1"/>
  <c r="A455" i="5"/>
  <c r="B455" i="5" s="1"/>
  <c r="A456" i="5"/>
  <c r="B456" i="5" s="1"/>
  <c r="A457" i="5"/>
  <c r="B457" i="5" s="1"/>
  <c r="A458" i="5"/>
  <c r="B458" i="5" s="1"/>
  <c r="A459" i="5"/>
  <c r="B459" i="5" s="1"/>
  <c r="A460" i="5"/>
  <c r="B460" i="5" s="1"/>
  <c r="A461" i="5"/>
  <c r="B461" i="5" s="1"/>
  <c r="A462" i="5"/>
  <c r="B462" i="5" s="1"/>
  <c r="A463" i="5"/>
  <c r="B463" i="5" s="1"/>
  <c r="A464" i="5"/>
  <c r="B464" i="5" s="1"/>
  <c r="A465" i="5"/>
  <c r="B465" i="5" s="1"/>
  <c r="A466" i="5"/>
  <c r="B466" i="5" s="1"/>
  <c r="A467" i="5"/>
  <c r="B467" i="5" s="1"/>
  <c r="A468" i="5"/>
  <c r="B468" i="5" s="1"/>
  <c r="A469" i="5"/>
  <c r="B469" i="5" s="1"/>
  <c r="A470" i="5"/>
  <c r="B470" i="5" s="1"/>
  <c r="A471" i="5"/>
  <c r="B471" i="5" s="1"/>
  <c r="A472" i="5"/>
  <c r="B472" i="5" s="1"/>
  <c r="A473" i="5"/>
  <c r="B473" i="5" s="1"/>
  <c r="A474" i="5"/>
  <c r="B474" i="5" s="1"/>
  <c r="A475" i="5"/>
  <c r="B475" i="5" s="1"/>
  <c r="A476" i="5"/>
  <c r="B476" i="5" s="1"/>
  <c r="A477" i="5"/>
  <c r="B477" i="5" s="1"/>
  <c r="A478" i="5"/>
  <c r="B478" i="5" s="1"/>
  <c r="A479" i="5"/>
  <c r="B479" i="5" s="1"/>
  <c r="A480" i="5"/>
  <c r="B480" i="5" s="1"/>
  <c r="A481" i="5"/>
  <c r="B481" i="5" s="1"/>
  <c r="A482" i="5"/>
  <c r="B482" i="5" s="1"/>
  <c r="A483" i="5"/>
  <c r="B483" i="5" s="1"/>
  <c r="A484" i="5"/>
  <c r="B484" i="5" s="1"/>
  <c r="A485" i="5"/>
  <c r="B485" i="5" s="1"/>
  <c r="A486" i="5"/>
  <c r="B486" i="5" s="1"/>
  <c r="A487" i="5"/>
  <c r="B487" i="5" s="1"/>
  <c r="A488" i="5"/>
  <c r="B488" i="5" s="1"/>
  <c r="A489" i="5"/>
  <c r="B489" i="5" s="1"/>
  <c r="A490" i="5"/>
  <c r="B490" i="5" s="1"/>
  <c r="A491" i="5"/>
  <c r="B491" i="5" s="1"/>
  <c r="A492" i="5"/>
  <c r="B492" i="5" s="1"/>
  <c r="A493" i="5"/>
  <c r="B493" i="5" s="1"/>
  <c r="A494" i="5"/>
  <c r="B494" i="5" s="1"/>
  <c r="A495" i="5"/>
  <c r="B495" i="5" s="1"/>
  <c r="A496" i="5"/>
  <c r="B496" i="5" s="1"/>
  <c r="A497" i="5"/>
  <c r="B497" i="5" s="1"/>
  <c r="A498" i="5"/>
  <c r="B498" i="5" s="1"/>
  <c r="A499" i="5"/>
  <c r="B499" i="5" s="1"/>
  <c r="A500" i="5"/>
  <c r="B500" i="5" s="1"/>
  <c r="A501" i="5"/>
  <c r="B501" i="5" s="1"/>
  <c r="A502" i="5"/>
  <c r="B502" i="5" s="1"/>
  <c r="A503" i="5"/>
  <c r="B503" i="5" s="1"/>
  <c r="A504" i="5"/>
  <c r="B504" i="5" s="1"/>
  <c r="A505" i="5"/>
  <c r="B505" i="5" s="1"/>
  <c r="A506" i="5"/>
  <c r="B506" i="5" s="1"/>
  <c r="A507" i="5"/>
  <c r="B507" i="5" s="1"/>
  <c r="A508" i="5"/>
  <c r="B508" i="5" s="1"/>
  <c r="A509" i="5"/>
  <c r="B509" i="5" s="1"/>
  <c r="A510" i="5"/>
  <c r="B510" i="5" s="1"/>
  <c r="A511" i="5"/>
  <c r="B511" i="5" s="1"/>
  <c r="A512" i="5"/>
  <c r="B512" i="5" s="1"/>
  <c r="A513" i="5"/>
  <c r="B513" i="5" s="1"/>
  <c r="A514" i="5"/>
  <c r="B514" i="5" s="1"/>
  <c r="A515" i="5"/>
  <c r="B515" i="5" s="1"/>
  <c r="A516" i="5"/>
  <c r="B516" i="5" s="1"/>
  <c r="A517" i="5"/>
  <c r="B517" i="5" s="1"/>
  <c r="A518" i="5"/>
  <c r="B518" i="5" s="1"/>
  <c r="A519" i="5"/>
  <c r="B519" i="5" s="1"/>
  <c r="A520" i="5"/>
  <c r="B520" i="5" s="1"/>
  <c r="A521" i="5"/>
  <c r="B521" i="5" s="1"/>
  <c r="A522" i="5"/>
  <c r="B522" i="5" s="1"/>
  <c r="A523" i="5"/>
  <c r="B523" i="5" s="1"/>
  <c r="A524" i="5"/>
  <c r="B524" i="5" s="1"/>
  <c r="A525" i="5"/>
  <c r="B525" i="5" s="1"/>
  <c r="A526" i="5"/>
  <c r="B526" i="5" s="1"/>
  <c r="A527" i="5"/>
  <c r="B527" i="5" s="1"/>
  <c r="A528" i="5"/>
  <c r="B528" i="5" s="1"/>
  <c r="A529" i="5"/>
  <c r="B529" i="5" s="1"/>
  <c r="A530" i="5"/>
  <c r="B530" i="5" s="1"/>
  <c r="A531" i="5"/>
  <c r="B531" i="5" s="1"/>
  <c r="A532" i="5"/>
  <c r="B532" i="5" s="1"/>
  <c r="A533" i="5"/>
  <c r="B533" i="5" s="1"/>
  <c r="A534" i="5"/>
  <c r="B534" i="5" s="1"/>
  <c r="A535" i="5"/>
  <c r="B535" i="5" s="1"/>
  <c r="A536" i="5"/>
  <c r="B536" i="5" s="1"/>
  <c r="A537" i="5"/>
  <c r="B537" i="5" s="1"/>
  <c r="A538" i="5"/>
  <c r="B538" i="5" s="1"/>
  <c r="A539" i="5"/>
  <c r="B539" i="5" s="1"/>
  <c r="A540" i="5"/>
  <c r="B540" i="5" s="1"/>
  <c r="A541" i="5"/>
  <c r="B541" i="5" s="1"/>
  <c r="A542" i="5"/>
  <c r="B542" i="5" s="1"/>
  <c r="A543" i="5"/>
  <c r="B543" i="5" s="1"/>
  <c r="A544" i="5"/>
  <c r="B544" i="5" s="1"/>
  <c r="A545" i="5"/>
  <c r="B545" i="5" s="1"/>
  <c r="A546" i="5"/>
  <c r="B546" i="5" s="1"/>
  <c r="A547" i="5"/>
  <c r="B547" i="5" s="1"/>
  <c r="A548" i="5"/>
  <c r="B548" i="5" s="1"/>
  <c r="A549" i="5"/>
  <c r="B549" i="5" s="1"/>
  <c r="A550" i="5"/>
  <c r="B550" i="5" s="1"/>
  <c r="A551" i="5"/>
  <c r="B551" i="5" s="1"/>
  <c r="A552" i="5"/>
  <c r="B552" i="5" s="1"/>
  <c r="A553" i="5"/>
  <c r="B553" i="5" s="1"/>
  <c r="A554" i="5"/>
  <c r="B554" i="5" s="1"/>
  <c r="A555" i="5"/>
  <c r="B555" i="5" s="1"/>
  <c r="A556" i="5"/>
  <c r="B556" i="5" s="1"/>
  <c r="A557" i="5"/>
  <c r="B557" i="5" s="1"/>
  <c r="A558" i="5"/>
  <c r="B558" i="5" s="1"/>
  <c r="A559" i="5"/>
  <c r="B559" i="5" s="1"/>
  <c r="A560" i="5"/>
  <c r="B560" i="5" s="1"/>
  <c r="A561" i="5"/>
  <c r="B561" i="5" s="1"/>
  <c r="A562" i="5"/>
  <c r="B562" i="5" s="1"/>
  <c r="A563" i="5"/>
  <c r="B563" i="5" s="1"/>
  <c r="A564" i="5"/>
  <c r="B564" i="5" s="1"/>
  <c r="A565" i="5"/>
  <c r="B565" i="5" s="1"/>
  <c r="A566" i="5"/>
  <c r="B566" i="5" s="1"/>
  <c r="A567" i="5"/>
  <c r="B567" i="5" s="1"/>
  <c r="A568" i="5"/>
  <c r="B568" i="5" s="1"/>
  <c r="A569" i="5"/>
  <c r="B569" i="5" s="1"/>
  <c r="A570" i="5"/>
  <c r="B570" i="5" s="1"/>
  <c r="A571" i="5"/>
  <c r="B571" i="5" s="1"/>
  <c r="A572" i="5"/>
  <c r="B572" i="5" s="1"/>
  <c r="A573" i="5"/>
  <c r="B573" i="5" s="1"/>
  <c r="A574" i="5"/>
  <c r="B574" i="5" s="1"/>
  <c r="A575" i="5"/>
  <c r="B575" i="5" s="1"/>
  <c r="A576" i="5"/>
  <c r="B576" i="5" s="1"/>
  <c r="A577" i="5"/>
  <c r="B577" i="5" s="1"/>
  <c r="A578" i="5"/>
  <c r="B578" i="5" s="1"/>
  <c r="A579" i="5"/>
  <c r="B579" i="5" s="1"/>
  <c r="A580" i="5"/>
  <c r="B580" i="5" s="1"/>
  <c r="A581" i="5"/>
  <c r="B581" i="5" s="1"/>
  <c r="A582" i="5"/>
  <c r="B582" i="5" s="1"/>
  <c r="A583" i="5"/>
  <c r="B583" i="5" s="1"/>
  <c r="A584" i="5"/>
  <c r="B584" i="5" s="1"/>
  <c r="A585" i="5"/>
  <c r="B585" i="5" s="1"/>
  <c r="A586" i="5"/>
  <c r="B586" i="5" s="1"/>
  <c r="A587" i="5"/>
  <c r="B587" i="5" s="1"/>
  <c r="A588" i="5"/>
  <c r="B588" i="5" s="1"/>
  <c r="A589" i="5"/>
  <c r="B589" i="5" s="1"/>
  <c r="A590" i="5"/>
  <c r="B590" i="5" s="1"/>
  <c r="A591" i="5"/>
  <c r="B591" i="5" s="1"/>
  <c r="A592" i="5"/>
  <c r="B592" i="5" s="1"/>
  <c r="A593" i="5"/>
  <c r="B593" i="5" s="1"/>
  <c r="A594" i="5"/>
  <c r="B594" i="5" s="1"/>
  <c r="A595" i="5"/>
  <c r="B595" i="5" s="1"/>
  <c r="A596" i="5"/>
  <c r="B596" i="5" s="1"/>
  <c r="A597" i="5"/>
  <c r="B597" i="5" s="1"/>
  <c r="A598" i="5"/>
  <c r="B598" i="5" s="1"/>
  <c r="A599" i="5"/>
  <c r="B599" i="5" s="1"/>
  <c r="A600" i="5"/>
  <c r="B600" i="5" s="1"/>
  <c r="A601" i="5"/>
  <c r="B601" i="5" s="1"/>
  <c r="A602" i="5"/>
  <c r="B602" i="5" s="1"/>
  <c r="A603" i="5"/>
  <c r="B603" i="5" s="1"/>
  <c r="A604" i="5"/>
  <c r="B604" i="5" s="1"/>
  <c r="A605" i="5"/>
  <c r="B605" i="5" s="1"/>
  <c r="A606" i="5"/>
  <c r="B606" i="5" s="1"/>
  <c r="A607" i="5"/>
  <c r="B607" i="5" s="1"/>
  <c r="A608" i="5"/>
  <c r="B608" i="5" s="1"/>
  <c r="A609" i="5"/>
  <c r="B609" i="5" s="1"/>
  <c r="A610" i="5"/>
  <c r="B610" i="5" s="1"/>
  <c r="A611" i="5"/>
  <c r="B611" i="5" s="1"/>
  <c r="A612" i="5"/>
  <c r="B612" i="5" s="1"/>
  <c r="A613" i="5"/>
  <c r="B613" i="5" s="1"/>
  <c r="A614" i="5"/>
  <c r="B614" i="5" s="1"/>
  <c r="A615" i="5"/>
  <c r="B615" i="5" s="1"/>
  <c r="A616" i="5"/>
  <c r="B616" i="5" s="1"/>
  <c r="A617" i="5"/>
  <c r="B617" i="5" s="1"/>
  <c r="A4" i="5"/>
  <c r="A3" i="5"/>
  <c r="B2" i="4" a="1"/>
  <c r="B2" i="4" s="1"/>
  <c r="A2" i="4" a="1"/>
  <c r="A2" i="4" s="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2" i="3"/>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C9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2" i="3"/>
  <c r="B16" i="5" l="1"/>
  <c r="B12" i="5"/>
  <c r="B17" i="5"/>
  <c r="B15" i="5"/>
  <c r="B11" i="5"/>
  <c r="B14" i="5"/>
  <c r="B4" i="5"/>
  <c r="B20" i="5"/>
  <c r="B9" i="5"/>
  <c r="B19" i="5"/>
  <c r="B21" i="5"/>
  <c r="B5" i="5"/>
  <c r="B18" i="5"/>
  <c r="B8" i="5" l="1"/>
  <c r="B6" i="5"/>
  <c r="E4" i="5" s="1"/>
  <c r="B7" i="5"/>
  <c r="B10" i="5"/>
  <c r="B3"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<sst xmlns="http://schemas.openxmlformats.org/spreadsheetml/2006/main" count="546" uniqueCount="251">
  <si>
    <t>Code</t>
  </si>
  <si>
    <t>Description</t>
  </si>
  <si>
    <t>Quantity</t>
  </si>
  <si>
    <t>€ /  Unit</t>
  </si>
  <si>
    <t>Total</t>
  </si>
  <si>
    <t>lot</t>
  </si>
  <si>
    <t>m</t>
  </si>
  <si>
    <t>pieces</t>
  </si>
  <si>
    <t>hours</t>
  </si>
  <si>
    <t>weeks</t>
  </si>
  <si>
    <t>day</t>
  </si>
  <si>
    <t>connection</t>
  </si>
  <si>
    <t>room</t>
  </si>
  <si>
    <t>seat</t>
  </si>
  <si>
    <t>person</t>
  </si>
  <si>
    <t>m²</t>
  </si>
  <si>
    <t>Vertical transportation</t>
  </si>
  <si>
    <t>Demolition and disposal carpeting</t>
  </si>
  <si>
    <t>Demolition and disposal partitioning</t>
  </si>
  <si>
    <t>Glass partitioning double glass</t>
  </si>
  <si>
    <t>Levelling floors</t>
  </si>
  <si>
    <t>Carpet</t>
  </si>
  <si>
    <t>Painting white</t>
  </si>
  <si>
    <t>Painting color</t>
  </si>
  <si>
    <t>Doors and frames</t>
  </si>
  <si>
    <t>Headers</t>
  </si>
  <si>
    <t>Subheaders</t>
  </si>
  <si>
    <t>General construction site costs (cleaning, waste, coffee, temporary cylinders etc.)</t>
  </si>
  <si>
    <t>Delivery cleaning / final cleaning</t>
  </si>
  <si>
    <t>Project coordination (contractor) + parking costs</t>
  </si>
  <si>
    <t>Werktekeningen en revisie</t>
  </si>
  <si>
    <t>Overhead + profit and risk + CAR insurance (Ak + wr + carverzekering)</t>
  </si>
  <si>
    <t>* Waste fee (stortleges) (65 euro per m3)</t>
  </si>
  <si>
    <t>Demolition and disposal ceiling</t>
  </si>
  <si>
    <t>Demolition and disposal loose furniture / inventory</t>
  </si>
  <si>
    <t>* Solid walls including finishes</t>
  </si>
  <si>
    <t>* Glass partitioning single glass</t>
  </si>
  <si>
    <t>* Framed door (glass with aluminium frame)</t>
  </si>
  <si>
    <t>* Closed door (wood)</t>
  </si>
  <si>
    <t>* Skirting (excl. painting)</t>
  </si>
  <si>
    <t>Soundbarriers (33dB)</t>
  </si>
  <si>
    <t>* Adjusting existing ceiling to layout</t>
  </si>
  <si>
    <t>New ceiling (including grid)</t>
  </si>
  <si>
    <t>Acoustic ceiling panels (ecophon panel)</t>
  </si>
  <si>
    <t>Preparations (sanding, vacuuming)</t>
  </si>
  <si>
    <t>Marmoleum</t>
  </si>
  <si>
    <t>PVC</t>
  </si>
  <si>
    <t>Parket</t>
  </si>
  <si>
    <t>Transition profiles</t>
  </si>
  <si>
    <t>Ceramic tiles</t>
  </si>
  <si>
    <t>Cover up with easydek (including removing)</t>
  </si>
  <si>
    <t>Skirting</t>
  </si>
  <si>
    <t>Painting check / retouch at the end</t>
  </si>
  <si>
    <t>* Adjusting mechanical installation to layout (no climate ceiling!)</t>
  </si>
  <si>
    <t>Installation airco unit SER</t>
  </si>
  <si>
    <t>Adjusting plumbing installation for pantry / mothersroom</t>
  </si>
  <si>
    <t>* Adjusting electrical installation to layout (wall sockets, existing lighting)</t>
  </si>
  <si>
    <t>Installation new lighting installation (led)</t>
  </si>
  <si>
    <t>Adjusting electrical installation for pantry / mothersroom</t>
  </si>
  <si>
    <t>NEN-EN1010 inspection of electrical installations</t>
  </si>
  <si>
    <t>Special lighting (project dependent!)</t>
  </si>
  <si>
    <t>Coordination costs (revision, drawings, engineering)</t>
  </si>
  <si>
    <t>Adjusting data installation to layout (including extra groups)</t>
  </si>
  <si>
    <t>Installation new data installation</t>
  </si>
  <si>
    <t>Adjusting access control, intercom and burglary system</t>
  </si>
  <si>
    <t>Access control per door</t>
  </si>
  <si>
    <t>Adjusting fire safety installation to layout</t>
  </si>
  <si>
    <t>AV 2-persons room (screen + hdmi)</t>
  </si>
  <si>
    <t>AV 4-10 persons room (screen + hdmi)</t>
  </si>
  <si>
    <t>AV 10-20 persons room (screen + hdmi)</t>
  </si>
  <si>
    <t>Room reservation system</t>
  </si>
  <si>
    <t>Reception desks (average)</t>
  </si>
  <si>
    <t>Pantry including equipment (dishwasher, microwave, fridge)</t>
  </si>
  <si>
    <t>Pantry with bar including equipment (dishwasher, fridges, microwave/oven)</t>
  </si>
  <si>
    <t>Wardrobe element with rod and parcel shelf without doors (ca. 15-20 coats)</t>
  </si>
  <si>
    <t>Wardrobe element with rod and parcel shelf including doors (ca. 15-20 coats)</t>
  </si>
  <si>
    <t>Copy element with shelf</t>
  </si>
  <si>
    <t>Lockers (30 lockers, tagsystem)</t>
  </si>
  <si>
    <t>Coupe seat 4-persons</t>
  </si>
  <si>
    <t>Single desk electrically adjustable + acoustic screen (incl. cablemanagement, wallsocket in worktop)</t>
  </si>
  <si>
    <t>Duo desk electrically adjustable + acoustic screen (incl. cablemanagement, wallsocket in worktop)</t>
  </si>
  <si>
    <t>Desk chair</t>
  </si>
  <si>
    <t>Cupboard sliding door 1600 x 1200</t>
  </si>
  <si>
    <t>Meeting furniture 3-4 persons</t>
  </si>
  <si>
    <t>Meeting furniture 6-8 persons</t>
  </si>
  <si>
    <t>Meeting furniture 12 persons</t>
  </si>
  <si>
    <t>Meeting furniture 20 persons</t>
  </si>
  <si>
    <t>Phoneboot framery</t>
  </si>
  <si>
    <t>Cable cubbies meetingtable</t>
  </si>
  <si>
    <t>Couch</t>
  </si>
  <si>
    <t>Armchair</t>
  </si>
  <si>
    <t>Coffee table</t>
  </si>
  <si>
    <t>Lounge chair</t>
  </si>
  <si>
    <t>Lunch furniture (pantry / lunch)</t>
  </si>
  <si>
    <t>Greenery</t>
  </si>
  <si>
    <t>Waste management, loose coat racks and others</t>
  </si>
  <si>
    <t>Signing and visuals</t>
  </si>
  <si>
    <t>Styling</t>
  </si>
  <si>
    <t>Whiteboardpanel 1000x1200 (joinery)</t>
  </si>
  <si>
    <t>Rollerblinds</t>
  </si>
  <si>
    <t>Move costs internal</t>
  </si>
  <si>
    <t>Move costs external</t>
  </si>
  <si>
    <t>* Project management</t>
  </si>
  <si>
    <t>* MEP consultancy</t>
  </si>
  <si>
    <t>Constructional consultancy</t>
  </si>
  <si>
    <t>* Design / architect</t>
  </si>
  <si>
    <t>* Contingency (10-15%)</t>
  </si>
  <si>
    <t>Unit</t>
  </si>
  <si>
    <t>New Budget Item</t>
  </si>
  <si>
    <t>Units</t>
  </si>
  <si>
    <t>New Subheader</t>
  </si>
  <si>
    <t>Header</t>
  </si>
  <si>
    <t>Subheader</t>
  </si>
  <si>
    <t>New Header</t>
  </si>
  <si>
    <t>Kolom1</t>
  </si>
  <si>
    <t>Kolom2</t>
  </si>
  <si>
    <t>Kolom3</t>
  </si>
  <si>
    <t>01 - CONSTRUCTION COSTS</t>
  </si>
  <si>
    <t>02 - INSTALLATIONS</t>
  </si>
  <si>
    <t>03 - JOINERY</t>
  </si>
  <si>
    <t>04 - FURNITURE</t>
  </si>
  <si>
    <t>06 - OTHERS</t>
  </si>
  <si>
    <t>07 - CONSULTANCY COSTS</t>
  </si>
  <si>
    <t>08 - CONTINGENCY</t>
  </si>
  <si>
    <t>05 - INVENTORY AND DECORATIONS</t>
  </si>
  <si>
    <t>01.01 - General construction</t>
  </si>
  <si>
    <t>01.02 - Demolition</t>
  </si>
  <si>
    <t>01.03 - Partitioning</t>
  </si>
  <si>
    <t>01.05 - Flooring</t>
  </si>
  <si>
    <t>02.01 - Mechanical installation &amp; plumbing</t>
  </si>
  <si>
    <t>02.02 - Electrical installation</t>
  </si>
  <si>
    <t>02.03 - Data installation</t>
  </si>
  <si>
    <t>02.04 - Security installation &amp; access control</t>
  </si>
  <si>
    <t>02.05 - Fire safety installation</t>
  </si>
  <si>
    <t>02.06 - Audiovisual installation</t>
  </si>
  <si>
    <t>03.01 - Joinery</t>
  </si>
  <si>
    <t>04.01 - Workplace furniture</t>
  </si>
  <si>
    <t>04.02 - Meeting furniture</t>
  </si>
  <si>
    <t>04.03 - Loose furniture</t>
  </si>
  <si>
    <t>05.01 - Inventory &amp; decorations</t>
  </si>
  <si>
    <t>06.01 - Move</t>
  </si>
  <si>
    <t>07.01 - Consultancy costs</t>
  </si>
  <si>
    <t>08.01 - Contingency</t>
  </si>
  <si>
    <t>01.04 - Ceiling</t>
  </si>
  <si>
    <t>01.06 - Painting</t>
  </si>
  <si>
    <t>1.01.01</t>
  </si>
  <si>
    <t>1.01.02</t>
  </si>
  <si>
    <t>1.01.03</t>
  </si>
  <si>
    <t>1.01.04</t>
  </si>
  <si>
    <t>1.01.05</t>
  </si>
  <si>
    <t>1.01.06</t>
  </si>
  <si>
    <t>1.01.07</t>
  </si>
  <si>
    <t>1.02.01</t>
  </si>
  <si>
    <t>1.02.02</t>
  </si>
  <si>
    <t>1.02.03</t>
  </si>
  <si>
    <t>1.02.04</t>
  </si>
  <si>
    <t>1.03.01</t>
  </si>
  <si>
    <t>1.03.02</t>
  </si>
  <si>
    <t>1.03.03</t>
  </si>
  <si>
    <t>1.03.04</t>
  </si>
  <si>
    <t>1.03.05</t>
  </si>
  <si>
    <t>1.03.06</t>
  </si>
  <si>
    <t>1.03.07</t>
  </si>
  <si>
    <t>1.04.01</t>
  </si>
  <si>
    <t>1.04.02</t>
  </si>
  <si>
    <t>1.04.03</t>
  </si>
  <si>
    <t>1.05.01</t>
  </si>
  <si>
    <t>1.05.02</t>
  </si>
  <si>
    <t>1.05.03</t>
  </si>
  <si>
    <t>1.05.04</t>
  </si>
  <si>
    <t>1.05.05</t>
  </si>
  <si>
    <t>1.05.06</t>
  </si>
  <si>
    <t>1.05.07</t>
  </si>
  <si>
    <t>1.05.08</t>
  </si>
  <si>
    <t>1.05.09</t>
  </si>
  <si>
    <t>1.06.01</t>
  </si>
  <si>
    <t>1.06.02</t>
  </si>
  <si>
    <t>1.06.03</t>
  </si>
  <si>
    <t>1.06.04</t>
  </si>
  <si>
    <t>1.06.05</t>
  </si>
  <si>
    <t>2.01.01</t>
  </si>
  <si>
    <t>2.01.02</t>
  </si>
  <si>
    <t>2.01.03</t>
  </si>
  <si>
    <t>2.02.01</t>
  </si>
  <si>
    <t>2.02.02</t>
  </si>
  <si>
    <t>2.02.03</t>
  </si>
  <si>
    <t>2.02.04</t>
  </si>
  <si>
    <t>2.02.05</t>
  </si>
  <si>
    <t>2.02.06</t>
  </si>
  <si>
    <t>2.03.01</t>
  </si>
  <si>
    <t>2.03.02</t>
  </si>
  <si>
    <t>2.04.01</t>
  </si>
  <si>
    <t>2.04.02</t>
  </si>
  <si>
    <t>2.05.01</t>
  </si>
  <si>
    <t>2.06.01</t>
  </si>
  <si>
    <t>2.06.02</t>
  </si>
  <si>
    <t>2.06.03</t>
  </si>
  <si>
    <t>2.06.04</t>
  </si>
  <si>
    <t>3.01.01</t>
  </si>
  <si>
    <t>3.01.02</t>
  </si>
  <si>
    <t>3.01.03</t>
  </si>
  <si>
    <t>3.01.04</t>
  </si>
  <si>
    <t>3.01.05</t>
  </si>
  <si>
    <t>3.01.06</t>
  </si>
  <si>
    <t>3.01.07</t>
  </si>
  <si>
    <t>3.01.08</t>
  </si>
  <si>
    <t>4.01.01</t>
  </si>
  <si>
    <t>4.01.02</t>
  </si>
  <si>
    <t>4.01.03</t>
  </si>
  <si>
    <t>4.01.04</t>
  </si>
  <si>
    <t>4.02.01</t>
  </si>
  <si>
    <t>4.02.02</t>
  </si>
  <si>
    <t>4.02.03</t>
  </si>
  <si>
    <t>4.02.04</t>
  </si>
  <si>
    <t>4.03.01</t>
  </si>
  <si>
    <t>4.03.02</t>
  </si>
  <si>
    <t>4.03.03</t>
  </si>
  <si>
    <t>4.03.04</t>
  </si>
  <si>
    <t>4.03.05</t>
  </si>
  <si>
    <t>4.03.06</t>
  </si>
  <si>
    <t>4.03.07</t>
  </si>
  <si>
    <t>5.01.01</t>
  </si>
  <si>
    <t>5.01.02</t>
  </si>
  <si>
    <t>5.01.03</t>
  </si>
  <si>
    <t>5.01.04</t>
  </si>
  <si>
    <t>5.01.05</t>
  </si>
  <si>
    <t>5.01.06</t>
  </si>
  <si>
    <t>6.01.01</t>
  </si>
  <si>
    <t>6.01.02</t>
  </si>
  <si>
    <t>7.01.01</t>
  </si>
  <si>
    <t>7.01.02</t>
  </si>
  <si>
    <t>7.01.03</t>
  </si>
  <si>
    <t>7.01.04</t>
  </si>
  <si>
    <t>8.01.01</t>
  </si>
  <si>
    <t>Date &amp; Time</t>
  </si>
  <si>
    <t>Project</t>
  </si>
  <si>
    <t>NAME PROJECT</t>
  </si>
  <si>
    <t>Finishing level</t>
  </si>
  <si>
    <t>High +10%</t>
  </si>
  <si>
    <t>Medium +0%</t>
  </si>
  <si>
    <t>€ /  Unit + Finishing</t>
  </si>
  <si>
    <t>Low -5%</t>
  </si>
  <si>
    <t>Budget</t>
  </si>
  <si>
    <t xml:space="preserve"> </t>
  </si>
  <si>
    <t>m³</t>
  </si>
  <si>
    <t>Expenses</t>
  </si>
  <si>
    <t>Difference</t>
  </si>
  <si>
    <t>Rijlabels</t>
  </si>
  <si>
    <t>Eindtotaal</t>
  </si>
  <si>
    <t>Som van Total</t>
  </si>
  <si>
    <t>Amount budget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</si>
</sst>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sz val="48"/>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0">
    <border>
      <left/>
      <right/>
      <top/>
      <bottom/>
      <diagonal/>
    </border>
    <border>
      <left/>
      <right/>
      <top style="thin">
        <color theme="4"/>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2" fillId="0" borderId="0" xfId="0" applyFont="1"/>
    <xf numFmtId="0" fontId="0" fillId="0" borderId="0" xfId="0" applyAlignment="1">
      <alignment horizontal="center"/>
    </xf>
    <xf numFmtId="0" fontId="0" fillId="0" borderId="1" xfId="0" applyBorder="1"/>
    <xf numFmtId="164" fontId="0" fillId="0" borderId="0" xfId="0" applyNumberFormat="1"/>
    <xf numFmtId="44" fontId="0" fillId="0" borderId="0" xfId="1" applyFont="1"/>
    <xf numFmtId="44" fontId="0" fillId="0" borderId="0" xfId="1" applyFont="1" applyBorder="1"/>
    <xf numFmtId="0" fontId="0" fillId="2" borderId="0" xfId="0" applyFill="1"/>
    <xf numFmtId="0" fontId="0" fillId="2" borderId="0" xfId="0" applyFill="1" applyAlignment="1">
      <alignment horizontal="right"/>
    </xf>
    <xf numFmtId="0" fontId="0" fillId="2" borderId="2" xfId="0" applyFill="1" applyBorder="1"/>
    <xf numFmtId="44" fontId="0" fillId="2" borderId="2" xfId="1" applyFont="1" applyFill="1" applyBorder="1"/>
    <xf numFmtId="0" fontId="0" fillId="2" borderId="0" xfId="0" applyFill="1" applyAlignment="1">
      <alignment horizontal="center"/>
    </xf>
    <xf numFmtId="2" fontId="0" fillId="2" borderId="0" xfId="0" applyNumberFormat="1" applyFill="1"/>
    <xf numFmtId="0" fontId="0" fillId="2" borderId="4" xfId="0" applyFill="1" applyBorder="1"/>
    <xf numFmtId="0" fontId="0" fillId="2" borderId="5" xfId="0" applyFill="1" applyBorder="1"/>
    <xf numFmtId="0" fontId="0" fillId="2" borderId="6" xfId="0" applyFill="1" applyBorder="1"/>
    <xf numFmtId="0" fontId="4" fillId="2" borderId="3" xfId="0" applyFont="1" applyFill="1" applyBorder="1" applyAlignment="1">
      <alignment horizontal="center"/>
    </xf>
    <xf numFmtId="2" fontId="0" fillId="0" borderId="0" xfId="0" applyNumberFormat="1"/>
    <xf numFmtId="2" fontId="4" fillId="2" borderId="3" xfId="0" applyNumberFormat="1" applyFont="1" applyFill="1" applyBorder="1" applyAlignment="1">
      <alignment horizontal="center"/>
    </xf>
    <xf numFmtId="0" fontId="4" fillId="2" borderId="4" xfId="0" applyFont="1" applyFill="1" applyBorder="1"/>
    <xf numFmtId="0" fontId="0" fillId="2" borderId="8" xfId="0" applyFill="1" applyBorder="1"/>
    <xf numFmtId="0" fontId="0" fillId="2" borderId="7" xfId="0" applyFill="1" applyBorder="1"/>
    <xf numFmtId="2" fontId="4" fillId="2" borderId="0" xfId="0" applyNumberFormat="1" applyFont="1" applyFill="1"/>
    <xf numFmtId="2" fontId="0" fillId="2" borderId="0" xfId="0" applyNumberFormat="1" applyFill="1" applyAlignment="1">
      <alignment horizontal="right"/>
    </xf>
    <xf numFmtId="44" fontId="0" fillId="2" borderId="0" xfId="1" applyFont="1" applyFill="1" applyBorder="1"/>
    <xf numFmtId="0" fontId="0" fillId="2" borderId="9" xfId="0" applyFill="1" applyBorder="1"/>
    <xf numFmtId="2" fontId="0" fillId="2" borderId="2" xfId="0" applyNumberFormat="1" applyFill="1" applyBorder="1" applyAlignment="1">
      <alignment horizontal="left"/>
    </xf>
    <xf numFmtId="2" fontId="0" fillId="2" borderId="6" xfId="0" applyNumberFormat="1" applyFill="1" applyBorder="1"/>
    <xf numFmtId="0" fontId="0" fillId="2" borderId="0" xfId="0" applyFill="1" applyAlignment="1">
      <alignment vertical="center"/>
    </xf>
    <xf numFmtId="1" fontId="0" fillId="2" borderId="0" xfId="0" applyNumberFormat="1" applyFill="1" applyAlignment="1">
      <alignment horizontal="center"/>
    </xf>
    <xf numFmtId="44" fontId="0" fillId="0" borderId="0" xfId="0" applyNumberFormat="1"/>
    <xf numFmtId="9" fontId="0" fillId="0" borderId="0" xfId="2" applyFont="1"/>
    <xf numFmtId="2" fontId="0" fillId="0" borderId="1" xfId="0" applyNumberFormat="1" applyBorder="1"/>
    <xf numFmtId="0" fontId="0" fillId="3" borderId="0" xfId="0" applyFill="1"/>
    <xf numFmtId="22" fontId="0" fillId="2" borderId="0" xfId="0" applyNumberFormat="1" applyFill="1" applyAlignment="1">
      <alignment horizontal="right"/>
    </xf>
    <xf numFmtId="44" fontId="0" fillId="2" borderId="0" xfId="1" applyFont="1" applyFill="1" applyAlignment="1">
      <alignment horizontal="right"/>
    </xf>
    <xf numFmtId="44" fontId="0" fillId="2" borderId="0" xfId="1" applyFont="1" applyFill="1" applyAlignmen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2" borderId="0" xfId="0" applyFill="1" applyAlignment="1">
      <alignment horizontal="left" vertical="top"/>
    </xf>
    <xf numFmtId="0" fontId="0" fillId="2" borderId="0" xfId="0" applyFill="1" applyAlignment="1">
      <alignment horizontal="center" vertical="center"/>
    </xf>
    <xf numFmtId="0" fontId="0" fillId="0" borderId="0" xfId="0" applyAlignment="1">
      <alignment horizontal="center"/>
    </xf>
    <xf numFmtId="0" fontId="5" fillId="0" borderId="0" xfId="0" applyFont="1" applyAlignment="1">
      <alignment horizontal="center"/>
    </xf>
    <xf numFmtId="0" fontId="0" fillId="2" borderId="3" xfId="0" applyFill="1" applyBorder="1" applyAlignment="1">
      <alignment horizontal="center"/>
    </xf>
    <xf numFmtId="0" fontId="0" fillId="2" borderId="0" xfId="0" applyFill="1" applyAlignment="1">
      <alignment horizontal="center"/>
    </xf>
    <xf numFmtId="0" fontId="0" fillId="0" borderId="0" xfId="0" applyBorder="1"/>
    <xf numFmtId="2" fontId="0" fillId="0" borderId="0" xfId="0" applyNumberFormat="1" applyBorder="1"/>
  </cellXfs>
  <cellStyles count="3">
    <cellStyle name="Procent" xfId="2" builtinId="5"/>
    <cellStyle name="Standaard" xfId="0" builtinId="0"/>
    <cellStyle name="Valuta" xfId="1" builtinId="4"/>
  </cellStyles>
  <dxfs count="20">
    <dxf>
      <numFmt numFmtId="34" formatCode="_ &quot;€&quot;\ * #,##0.00_ ;_ &quot;€&quot;\ * \-#,##0.00_ ;_ &quot;€&quot;\ * &quot;-&quot;??_ ;_ @_ "/>
    </dxf>
    <dxf>
      <numFmt numFmtId="34" formatCode="_ &quot;€&quot;\ * #,##0.00_ ;_ &quot;€&quot;\ * \-#,##0.00_ ;_ &quot;€&quot;\ * &quot;-&quot;??_ ;_ @_ "/>
    </dxf>
    <dxf>
      <numFmt numFmtId="2" formatCode="0.00"/>
    </dxf>
    <dxf>
      <fill>
        <patternFill patternType="solid">
          <fgColor indexed="64"/>
          <bgColor rgb="FFFFFF00"/>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ptos Narrow"/>
        <family val="2"/>
        <scheme val="minor"/>
      </font>
    </dxf>
    <dxf>
      <numFmt numFmtId="0" formatCode="General"/>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right/>
        <top style="thin">
          <color theme="4"/>
        </top>
        <bottom/>
        <vertical/>
        <horizontal/>
      </border>
    </dxf>
    <dxf>
      <numFmt numFmtId="2" formatCode="0.00"/>
      <fill>
        <patternFill patternType="solid">
          <fgColor indexed="64"/>
          <bgColor theme="0"/>
        </patternFill>
      </fill>
    </dxf>
    <dxf>
      <numFmt numFmtId="2" formatCode="0.00"/>
      <fill>
        <patternFill patternType="solid">
          <fgColor indexed="64"/>
          <bgColor theme="0"/>
        </patternFill>
      </fill>
    </dxf>
    <dxf>
      <fill>
        <patternFill patternType="solid">
          <fgColor indexed="64"/>
          <bgColor theme="0"/>
        </patternFill>
      </fill>
      <border diagonalUp="0" diagonalDown="0" outline="0">
        <left/>
        <right/>
        <top style="thin">
          <color auto="1"/>
        </top>
        <bottom style="thin">
          <color auto="1"/>
        </bottom>
      </border>
    </dxf>
    <dxf>
      <border outline="0">
        <left style="thin">
          <color auto="1"/>
        </left>
      </border>
    </dxf>
    <dxf>
      <font>
        <strike val="0"/>
        <outline val="0"/>
        <shadow val="0"/>
        <u val="none"/>
        <vertAlign val="baseline"/>
        <sz val="11"/>
        <color auto="1"/>
        <name val="Aptos Narrow"/>
        <family val="2"/>
        <scheme val="minor"/>
      </font>
    </dxf>
    <dxf>
      <numFmt numFmtId="2" formatCode="0.0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theme="0"/>
        </patternFill>
      </fill>
    </dxf>
    <dxf>
      <border outline="0">
        <bottom style="thin">
          <color auto="1"/>
        </bottom>
      </border>
    </dxf>
    <dxf>
      <font>
        <strike val="0"/>
        <outline val="0"/>
        <shadow val="0"/>
        <u val="none"/>
        <vertAlign val="baseline"/>
        <sz val="11"/>
        <color auto="1"/>
        <name val="Aptos Narrow"/>
        <family val="2"/>
        <scheme val="minor"/>
      </font>
      <fill>
        <patternFill patternType="solid">
          <fgColor indexed="64"/>
          <bgColor theme="0"/>
        </patternFill>
      </fill>
      <alignment horizontal="center" vertical="bottom" textRotation="0" wrapText="0" indent="0" justifyLastLine="0" shrinkToFit="0" readingOrder="0"/>
    </dxf>
    <dxf>
      <numFmt numFmtId="164" formatCode="&quot;€&quot;\ #,##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5.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nl-NL"/>
              <a:t>Expenses vs Budget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nl-NL"/>
        </a:p>
      </c:txPr>
    </c:title>
    <c:autoTitleDeleted val="0"/>
    <c:plotArea>
      <c:layout/>
      <c:barChart>
        <c:barDir val="bar"/>
        <c:grouping val="percentStacked"/>
        <c:varyColors val="0"/>
        <c:ser>
          <c:idx val="0"/>
          <c:order val="0"/>
          <c:tx>
            <c:strRef>
              <c:f>Dashboard!$D$14</c:f>
              <c:strCache>
                <c:ptCount val="1"/>
                <c:pt idx="0">
                  <c:v>Expenses</c:v>
                </c:pt>
              </c:strCache>
            </c:strRef>
          </c:tx>
          <c:spPr>
            <a:solidFill>
              <a:srgbClr val="002060"/>
            </a:solidFill>
            <a:ln w="38100">
              <a:solidFill>
                <a:srgbClr val="002060"/>
              </a:solid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fld id="{B0819017-8FA2-431F-B720-7DFA1BD73A79}" type="VALUE">
                      <a:rPr lang="en-US" sz="1400" b="1"/>
                      <a:pPr>
                        <a:defRPr/>
                      </a:pPr>
                      <a:t>[WAARDE]</a:t>
                    </a:fld>
                    <a:endParaRPr lang="nl-NL"/>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nl-NL"/>
                </a:p>
              </c:txPr>
              <c:dLblPos val="ctr"/>
              <c:showLegendKey val="0"/>
              <c:showVal val="1"/>
              <c:showCatName val="0"/>
              <c:showSerName val="0"/>
              <c:showPercent val="0"/>
              <c:showBubbleSize val="0"/>
              <c:extLst>
                <c:ext xmlns:c15="http://schemas.microsoft.com/office/drawing/2012/chart" uri="{CE6537A1-D6FC-4f65-9D91-7224C49458BB}">
                  <c15:layout>
                    <c:manualLayout>
                      <c:w val="0.22521267474779261"/>
                      <c:h val="0.23325995939122507"/>
                    </c:manualLayout>
                  </c15:layout>
                  <c15:dlblFieldTable/>
                  <c15:showDataLabelsRange val="0"/>
                </c:ext>
                <c:ext xmlns:c16="http://schemas.microsoft.com/office/drawing/2014/chart" uri="{C3380CC4-5D6E-409C-BE32-E72D297353CC}">
                  <c16:uniqueId val="{00000005-FE0D-442B-B0EA-E82D87CEDF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l-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Dashboard!$F$14</c:f>
              <c:numCache>
                <c:formatCode>0.00%</c:formatCode>
                <c:ptCount val="1"/>
                <c:pt idx="0">
                  <c:v>0.87590000000000001</c:v>
                </c:pt>
              </c:numCache>
            </c:numRef>
          </c:val>
          <c:extLst>
            <c:ext xmlns:c16="http://schemas.microsoft.com/office/drawing/2014/chart" uri="{C3380CC4-5D6E-409C-BE32-E72D297353CC}">
              <c16:uniqueId val="{00000000-FE0D-442B-B0EA-E82D87CEDF1F}"/>
            </c:ext>
          </c:extLst>
        </c:ser>
        <c:ser>
          <c:idx val="1"/>
          <c:order val="1"/>
          <c:tx>
            <c:strRef>
              <c:f>Dashboard!$D$15</c:f>
              <c:strCache>
                <c:ptCount val="1"/>
                <c:pt idx="0">
                  <c:v>Difference</c:v>
                </c:pt>
              </c:strCache>
            </c:strRef>
          </c:tx>
          <c:spPr>
            <a:solidFill>
              <a:sysClr val="window" lastClr="FFFFFF"/>
            </a:solidFill>
            <a:ln w="38100">
              <a:solidFill>
                <a:srgbClr val="002060"/>
              </a:solidFill>
            </a:ln>
            <a:effectLst/>
          </c:spPr>
          <c:invertIfNegative val="0"/>
          <c:dLbls>
            <c:delete val="1"/>
          </c:dLbls>
          <c:val>
            <c:numRef>
              <c:f>Dashboard!$F$15</c:f>
              <c:numCache>
                <c:formatCode>0.00%</c:formatCode>
                <c:ptCount val="1"/>
                <c:pt idx="0">
                  <c:v>0.14168284050690719</c:v>
                </c:pt>
              </c:numCache>
            </c:numRef>
          </c:val>
          <c:extLst>
            <c:ext xmlns:c16="http://schemas.microsoft.com/office/drawing/2014/chart" uri="{C3380CC4-5D6E-409C-BE32-E72D297353CC}">
              <c16:uniqueId val="{00000003-FE0D-442B-B0EA-E82D87CEDF1F}"/>
            </c:ext>
          </c:extLst>
        </c:ser>
        <c:dLbls>
          <c:dLblPos val="ctr"/>
          <c:showLegendKey val="0"/>
          <c:showVal val="1"/>
          <c:showCatName val="0"/>
          <c:showSerName val="0"/>
          <c:showPercent val="0"/>
          <c:showBubbleSize val="0"/>
        </c:dLbls>
        <c:gapWidth val="79"/>
        <c:overlap val="100"/>
        <c:axId val="271847344"/>
        <c:axId val="271848304"/>
      </c:barChart>
      <c:catAx>
        <c:axId val="271847344"/>
        <c:scaling>
          <c:orientation val="minMax"/>
        </c:scaling>
        <c:delete val="1"/>
        <c:axPos val="l"/>
        <c:numFmt formatCode="General" sourceLinked="1"/>
        <c:majorTickMark val="none"/>
        <c:minorTickMark val="none"/>
        <c:tickLblPos val="nextTo"/>
        <c:crossAx val="271848304"/>
        <c:crosses val="autoZero"/>
        <c:auto val="1"/>
        <c:lblAlgn val="ctr"/>
        <c:lblOffset val="100"/>
        <c:noMultiLvlLbl val="0"/>
      </c:catAx>
      <c:valAx>
        <c:axId val="271848304"/>
        <c:scaling>
          <c:orientation val="minMax"/>
          <c:min val="0"/>
        </c:scaling>
        <c:delete val="1"/>
        <c:axPos val="b"/>
        <c:numFmt formatCode="0%" sourceLinked="1"/>
        <c:majorTickMark val="none"/>
        <c:minorTickMark val="none"/>
        <c:tickLblPos val="nextTo"/>
        <c:crossAx val="27184734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3"/>
    </mc:Choice>
    <mc:Fallback>
      <c:style val="3"/>
    </mc:Fallback>
  </mc:AlternateContent>
  <c:pivotSource>
    <c:name>[DreSo Excel Budgettool.xlsx]Blad2!Draaitabel19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per header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45000"/>
            </a:schemeClr>
          </a:solidFill>
          <a:ln>
            <a:noFill/>
          </a:ln>
          <a:effectLst/>
        </c:spPr>
      </c:pivotFmt>
      <c:pivotFmt>
        <c:idx val="3"/>
        <c:spPr>
          <a:solidFill>
            <a:schemeClr val="accent1">
              <a:shade val="61000"/>
            </a:schemeClr>
          </a:solidFill>
          <a:ln>
            <a:noFill/>
          </a:ln>
          <a:effectLst/>
        </c:spPr>
      </c:pivotFmt>
      <c:pivotFmt>
        <c:idx val="4"/>
        <c:spPr>
          <a:solidFill>
            <a:schemeClr val="accent1">
              <a:shade val="76000"/>
            </a:schemeClr>
          </a:solidFill>
          <a:ln>
            <a:noFill/>
          </a:ln>
          <a:effectLst/>
        </c:spPr>
      </c:pivotFmt>
      <c:pivotFmt>
        <c:idx val="5"/>
        <c:spPr>
          <a:solidFill>
            <a:schemeClr val="accent1">
              <a:shade val="92000"/>
            </a:schemeClr>
          </a:solidFill>
          <a:ln>
            <a:noFill/>
          </a:ln>
          <a:effectLst/>
        </c:spPr>
      </c:pivotFmt>
      <c:pivotFmt>
        <c:idx val="6"/>
        <c:spPr>
          <a:solidFill>
            <a:schemeClr val="accent1">
              <a:tint val="93000"/>
            </a:schemeClr>
          </a:solidFill>
          <a:ln>
            <a:noFill/>
          </a:ln>
          <a:effectLst/>
        </c:spPr>
      </c:pivotFmt>
      <c:pivotFmt>
        <c:idx val="7"/>
        <c:spPr>
          <a:solidFill>
            <a:schemeClr val="accent1">
              <a:tint val="77000"/>
            </a:schemeClr>
          </a:solidFill>
          <a:ln>
            <a:noFill/>
          </a:ln>
          <a:effectLst/>
        </c:spPr>
      </c:pivotFmt>
      <c:pivotFmt>
        <c:idx val="8"/>
        <c:spPr>
          <a:solidFill>
            <a:schemeClr val="accent1">
              <a:tint val="62000"/>
            </a:schemeClr>
          </a:solidFill>
          <a:ln>
            <a:noFill/>
          </a:ln>
          <a:effectLst/>
        </c:spPr>
      </c:pivotFmt>
      <c:pivotFmt>
        <c:idx val="9"/>
        <c:spPr>
          <a:solidFill>
            <a:schemeClr val="accent1">
              <a:tint val="46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45000"/>
            </a:schemeClr>
          </a:solidFill>
          <a:ln>
            <a:noFill/>
          </a:ln>
          <a:effectLst/>
        </c:spPr>
      </c:pivotFmt>
      <c:pivotFmt>
        <c:idx val="12"/>
        <c:spPr>
          <a:solidFill>
            <a:schemeClr val="accent1">
              <a:shade val="61000"/>
            </a:schemeClr>
          </a:solidFill>
          <a:ln>
            <a:noFill/>
          </a:ln>
          <a:effectLst/>
        </c:spPr>
      </c:pivotFmt>
      <c:pivotFmt>
        <c:idx val="13"/>
        <c:spPr>
          <a:solidFill>
            <a:schemeClr val="accent1">
              <a:shade val="76000"/>
            </a:schemeClr>
          </a:solidFill>
          <a:ln>
            <a:noFill/>
          </a:ln>
          <a:effectLst/>
        </c:spPr>
      </c:pivotFmt>
      <c:pivotFmt>
        <c:idx val="14"/>
        <c:spPr>
          <a:solidFill>
            <a:schemeClr val="accent1">
              <a:shade val="92000"/>
            </a:schemeClr>
          </a:solidFill>
          <a:ln>
            <a:noFill/>
          </a:ln>
          <a:effectLst/>
        </c:spPr>
      </c:pivotFmt>
      <c:pivotFmt>
        <c:idx val="15"/>
        <c:spPr>
          <a:solidFill>
            <a:schemeClr val="accent1">
              <a:tint val="93000"/>
            </a:schemeClr>
          </a:solidFill>
          <a:ln>
            <a:noFill/>
          </a:ln>
          <a:effectLst/>
        </c:spPr>
      </c:pivotFmt>
      <c:pivotFmt>
        <c:idx val="16"/>
        <c:spPr>
          <a:solidFill>
            <a:schemeClr val="accent1">
              <a:tint val="77000"/>
            </a:schemeClr>
          </a:solidFill>
          <a:ln>
            <a:noFill/>
          </a:ln>
          <a:effectLst/>
        </c:spPr>
      </c:pivotFmt>
      <c:pivotFmt>
        <c:idx val="17"/>
        <c:spPr>
          <a:solidFill>
            <a:schemeClr val="accent1">
              <a:tint val="62000"/>
            </a:schemeClr>
          </a:solidFill>
          <a:ln>
            <a:noFill/>
          </a:ln>
          <a:effectLst/>
        </c:spPr>
      </c:pivotFmt>
      <c:pivotFmt>
        <c:idx val="18"/>
        <c:spPr>
          <a:solidFill>
            <a:schemeClr val="accent1">
              <a:tint val="46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hade val="45000"/>
            </a:schemeClr>
          </a:solidFill>
          <a:ln>
            <a:noFill/>
          </a:ln>
          <a:effectLst/>
        </c:spPr>
      </c:pivotFmt>
      <c:pivotFmt>
        <c:idx val="21"/>
        <c:spPr>
          <a:solidFill>
            <a:schemeClr val="accent1">
              <a:shade val="61000"/>
            </a:schemeClr>
          </a:solidFill>
          <a:ln>
            <a:noFill/>
          </a:ln>
          <a:effectLst/>
        </c:spPr>
      </c:pivotFmt>
      <c:pivotFmt>
        <c:idx val="22"/>
        <c:spPr>
          <a:solidFill>
            <a:schemeClr val="accent1">
              <a:shade val="76000"/>
            </a:schemeClr>
          </a:solidFill>
          <a:ln>
            <a:noFill/>
          </a:ln>
          <a:effectLst/>
        </c:spPr>
      </c:pivotFmt>
      <c:pivotFmt>
        <c:idx val="23"/>
        <c:spPr>
          <a:solidFill>
            <a:schemeClr val="accent1">
              <a:shade val="92000"/>
            </a:schemeClr>
          </a:solidFill>
          <a:ln>
            <a:noFill/>
          </a:ln>
          <a:effectLst/>
        </c:spPr>
      </c:pivotFmt>
      <c:pivotFmt>
        <c:idx val="24"/>
        <c:spPr>
          <a:solidFill>
            <a:schemeClr val="accent1">
              <a:tint val="93000"/>
            </a:schemeClr>
          </a:solidFill>
          <a:ln>
            <a:noFill/>
          </a:ln>
          <a:effectLst/>
        </c:spPr>
      </c:pivotFmt>
      <c:pivotFmt>
        <c:idx val="25"/>
        <c:spPr>
          <a:solidFill>
            <a:schemeClr val="accent1">
              <a:tint val="77000"/>
            </a:schemeClr>
          </a:solidFill>
          <a:ln>
            <a:noFill/>
          </a:ln>
          <a:effectLst/>
        </c:spPr>
      </c:pivotFmt>
      <c:pivotFmt>
        <c:idx val="26"/>
        <c:spPr>
          <a:solidFill>
            <a:schemeClr val="accent1">
              <a:tint val="62000"/>
            </a:schemeClr>
          </a:solidFill>
          <a:ln>
            <a:noFill/>
          </a:ln>
          <a:effectLst/>
        </c:spPr>
      </c:pivotFmt>
      <c:pivotFmt>
        <c:idx val="27"/>
        <c:spPr>
          <a:solidFill>
            <a:schemeClr val="accent1">
              <a:tint val="46000"/>
            </a:schemeClr>
          </a:solidFill>
          <a:ln>
            <a:noFill/>
          </a:ln>
          <a:effectLst/>
        </c:spPr>
      </c:pivotFmt>
    </c:pivotFmts>
    <c:plotArea>
      <c:layout/>
      <c:pieChart>
        <c:varyColors val="1"/>
        <c:ser>
          <c:idx val="0"/>
          <c:order val="0"/>
          <c:tx>
            <c:strRef>
              <c:f>Blad2!$B$1</c:f>
              <c:strCache>
                <c:ptCount val="1"/>
                <c:pt idx="0">
                  <c:v>Totaal</c:v>
                </c:pt>
              </c:strCache>
            </c:strRef>
          </c:tx>
          <c:dPt>
            <c:idx val="0"/>
            <c:bubble3D val="0"/>
            <c:spPr>
              <a:solidFill>
                <a:schemeClr val="accent1">
                  <a:shade val="45000"/>
                </a:schemeClr>
              </a:solidFill>
              <a:ln>
                <a:noFill/>
              </a:ln>
              <a:effectLst/>
            </c:spPr>
            <c:extLst>
              <c:ext xmlns:c16="http://schemas.microsoft.com/office/drawing/2014/chart" uri="{C3380CC4-5D6E-409C-BE32-E72D297353CC}">
                <c16:uniqueId val="{00000001-DAE9-490D-9200-67F7407CAB6B}"/>
              </c:ext>
            </c:extLst>
          </c:dPt>
          <c:dPt>
            <c:idx val="1"/>
            <c:bubble3D val="0"/>
            <c:spPr>
              <a:solidFill>
                <a:schemeClr val="accent1">
                  <a:shade val="61000"/>
                </a:schemeClr>
              </a:solidFill>
              <a:ln>
                <a:noFill/>
              </a:ln>
              <a:effectLst/>
            </c:spPr>
            <c:extLst>
              <c:ext xmlns:c16="http://schemas.microsoft.com/office/drawing/2014/chart" uri="{C3380CC4-5D6E-409C-BE32-E72D297353CC}">
                <c16:uniqueId val="{00000003-DAE9-490D-9200-67F7407CAB6B}"/>
              </c:ext>
            </c:extLst>
          </c:dPt>
          <c:dPt>
            <c:idx val="2"/>
            <c:bubble3D val="0"/>
            <c:spPr>
              <a:solidFill>
                <a:schemeClr val="accent1">
                  <a:shade val="76000"/>
                </a:schemeClr>
              </a:solidFill>
              <a:ln>
                <a:noFill/>
              </a:ln>
              <a:effectLst/>
            </c:spPr>
            <c:extLst>
              <c:ext xmlns:c16="http://schemas.microsoft.com/office/drawing/2014/chart" uri="{C3380CC4-5D6E-409C-BE32-E72D297353CC}">
                <c16:uniqueId val="{00000005-DAE9-490D-9200-67F7407CAB6B}"/>
              </c:ext>
            </c:extLst>
          </c:dPt>
          <c:dPt>
            <c:idx val="3"/>
            <c:bubble3D val="0"/>
            <c:spPr>
              <a:solidFill>
                <a:schemeClr val="accent1">
                  <a:shade val="92000"/>
                </a:schemeClr>
              </a:solidFill>
              <a:ln>
                <a:noFill/>
              </a:ln>
              <a:effectLst/>
            </c:spPr>
            <c:extLst>
              <c:ext xmlns:c16="http://schemas.microsoft.com/office/drawing/2014/chart" uri="{C3380CC4-5D6E-409C-BE32-E72D297353CC}">
                <c16:uniqueId val="{00000007-DAE9-490D-9200-67F7407CAB6B}"/>
              </c:ext>
            </c:extLst>
          </c:dPt>
          <c:dPt>
            <c:idx val="4"/>
            <c:bubble3D val="0"/>
            <c:spPr>
              <a:solidFill>
                <a:schemeClr val="accent1">
                  <a:tint val="93000"/>
                </a:schemeClr>
              </a:solidFill>
              <a:ln>
                <a:noFill/>
              </a:ln>
              <a:effectLst/>
            </c:spPr>
            <c:extLst>
              <c:ext xmlns:c16="http://schemas.microsoft.com/office/drawing/2014/chart" uri="{C3380CC4-5D6E-409C-BE32-E72D297353CC}">
                <c16:uniqueId val="{00000009-DAE9-490D-9200-67F7407CAB6B}"/>
              </c:ext>
            </c:extLst>
          </c:dPt>
          <c:dPt>
            <c:idx val="5"/>
            <c:bubble3D val="0"/>
            <c:spPr>
              <a:solidFill>
                <a:schemeClr val="accent1">
                  <a:tint val="77000"/>
                </a:schemeClr>
              </a:solidFill>
              <a:ln>
                <a:noFill/>
              </a:ln>
              <a:effectLst/>
            </c:spPr>
            <c:extLst>
              <c:ext xmlns:c16="http://schemas.microsoft.com/office/drawing/2014/chart" uri="{C3380CC4-5D6E-409C-BE32-E72D297353CC}">
                <c16:uniqueId val="{0000000B-DAE9-490D-9200-67F7407CAB6B}"/>
              </c:ext>
            </c:extLst>
          </c:dPt>
          <c:dPt>
            <c:idx val="6"/>
            <c:bubble3D val="0"/>
            <c:spPr>
              <a:solidFill>
                <a:schemeClr val="accent1">
                  <a:tint val="62000"/>
                </a:schemeClr>
              </a:solidFill>
              <a:ln>
                <a:noFill/>
              </a:ln>
              <a:effectLst/>
            </c:spPr>
            <c:extLst>
              <c:ext xmlns:c16="http://schemas.microsoft.com/office/drawing/2014/chart" uri="{C3380CC4-5D6E-409C-BE32-E72D297353CC}">
                <c16:uniqueId val="{0000000D-DAE9-490D-9200-67F7407CAB6B}"/>
              </c:ext>
            </c:extLst>
          </c:dPt>
          <c:dPt>
            <c:idx val="7"/>
            <c:bubble3D val="0"/>
            <c:spPr>
              <a:solidFill>
                <a:schemeClr val="accent1">
                  <a:tint val="46000"/>
                </a:schemeClr>
              </a:solidFill>
              <a:ln>
                <a:noFill/>
              </a:ln>
              <a:effectLst/>
            </c:spPr>
            <c:extLst>
              <c:ext xmlns:c16="http://schemas.microsoft.com/office/drawing/2014/chart" uri="{C3380CC4-5D6E-409C-BE32-E72D297353CC}">
                <c16:uniqueId val="{0000000F-DAE9-490D-9200-67F7407CAB6B}"/>
              </c:ext>
            </c:extLst>
          </c:dPt>
          <c:cat>
            <c:strRef>
              <c:f>Blad2!$A$2:$A$10</c:f>
              <c:strCache>
                <c:ptCount val="8"/>
                <c:pt idx="0">
                  <c:v>01 - CONSTRUCTION COSTS</c:v>
                </c:pt>
                <c:pt idx="1">
                  <c:v>02 - INSTALLATIONS</c:v>
                </c:pt>
                <c:pt idx="2">
                  <c:v>03 - JOINERY</c:v>
                </c:pt>
                <c:pt idx="3">
                  <c:v>04 - FURNITURE</c:v>
                </c:pt>
                <c:pt idx="4">
                  <c:v>05 - INVENTORY AND DECORATIONS</c:v>
                </c:pt>
                <c:pt idx="5">
                  <c:v>06 - OTHERS</c:v>
                </c:pt>
                <c:pt idx="6">
                  <c:v>07 - CONSULTANCY COSTS</c:v>
                </c:pt>
                <c:pt idx="7">
                  <c:v>08 - CONTINGENCY</c:v>
                </c:pt>
              </c:strCache>
            </c:strRef>
          </c:cat>
          <c:val>
            <c:numRef>
              <c:f>Blad2!$B$2:$B$10</c:f>
              <c:numCache>
                <c:formatCode>_("€"* #,##0.00_);_("€"* \(#,##0.00\);_("€"* "-"??_);_(@_)</c:formatCode>
                <c:ptCount val="8"/>
                <c:pt idx="0">
                  <c:v>371373</c:v>
                </c:pt>
                <c:pt idx="1">
                  <c:v>548775</c:v>
                </c:pt>
                <c:pt idx="2">
                  <c:v>153500</c:v>
                </c:pt>
                <c:pt idx="3">
                  <c:v>126500</c:v>
                </c:pt>
                <c:pt idx="4">
                  <c:v>101500</c:v>
                </c:pt>
                <c:pt idx="5">
                  <c:v>5700</c:v>
                </c:pt>
                <c:pt idx="6">
                  <c:v>245000</c:v>
                </c:pt>
                <c:pt idx="7">
                  <c:v>200000</c:v>
                </c:pt>
              </c:numCache>
            </c:numRef>
          </c:val>
          <c:extLst>
            <c:ext xmlns:c16="http://schemas.microsoft.com/office/drawing/2014/chart" uri="{C3380CC4-5D6E-409C-BE32-E72D297353CC}">
              <c16:uniqueId val="{00000010-DAE9-490D-9200-67F7407CAB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07742782152233"/>
          <c:y val="8.8747812773403309E-2"/>
          <c:w val="0.35992257217847767"/>
          <c:h val="0.91125218722659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3"/>
    </mc:Choice>
    <mc:Fallback>
      <c:style val="3"/>
    </mc:Fallback>
  </mc:AlternateContent>
  <c:pivotSource>
    <c:name>[DreSo Excel Budgettool.xlsx]Blad2!Draaitabel19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45000"/>
            </a:schemeClr>
          </a:solidFill>
          <a:ln>
            <a:noFill/>
          </a:ln>
          <a:effectLst/>
        </c:spPr>
      </c:pivotFmt>
      <c:pivotFmt>
        <c:idx val="2"/>
        <c:spPr>
          <a:solidFill>
            <a:schemeClr val="accent1">
              <a:shade val="61000"/>
            </a:schemeClr>
          </a:solidFill>
          <a:ln>
            <a:noFill/>
          </a:ln>
          <a:effectLst/>
        </c:spPr>
      </c:pivotFmt>
      <c:pivotFmt>
        <c:idx val="3"/>
        <c:spPr>
          <a:solidFill>
            <a:schemeClr val="accent1">
              <a:shade val="76000"/>
            </a:schemeClr>
          </a:solidFill>
          <a:ln>
            <a:noFill/>
          </a:ln>
          <a:effectLst/>
        </c:spPr>
      </c:pivotFmt>
      <c:pivotFmt>
        <c:idx val="4"/>
        <c:spPr>
          <a:solidFill>
            <a:schemeClr val="accent1">
              <a:shade val="92000"/>
            </a:schemeClr>
          </a:solidFill>
          <a:ln>
            <a:noFill/>
          </a:ln>
          <a:effectLst/>
        </c:spPr>
      </c:pivotFmt>
      <c:pivotFmt>
        <c:idx val="5"/>
        <c:spPr>
          <a:solidFill>
            <a:schemeClr val="accent1">
              <a:tint val="93000"/>
            </a:schemeClr>
          </a:solidFill>
          <a:ln>
            <a:noFill/>
          </a:ln>
          <a:effectLst/>
        </c:spPr>
      </c:pivotFmt>
      <c:pivotFmt>
        <c:idx val="6"/>
        <c:spPr>
          <a:solidFill>
            <a:schemeClr val="accent1">
              <a:tint val="77000"/>
            </a:schemeClr>
          </a:solidFill>
          <a:ln>
            <a:noFill/>
          </a:ln>
          <a:effectLst/>
        </c:spPr>
      </c:pivotFmt>
      <c:pivotFmt>
        <c:idx val="7"/>
        <c:spPr>
          <a:solidFill>
            <a:schemeClr val="accent1">
              <a:tint val="62000"/>
            </a:schemeClr>
          </a:solidFill>
          <a:ln>
            <a:noFill/>
          </a:ln>
          <a:effectLst/>
        </c:spPr>
      </c:pivotFmt>
      <c:pivotFmt>
        <c:idx val="8"/>
        <c:spPr>
          <a:solidFill>
            <a:schemeClr val="accent1">
              <a:tint val="46000"/>
            </a:schemeClr>
          </a:solidFill>
          <a:ln>
            <a:noFill/>
          </a:ln>
          <a:effectLst/>
        </c:spPr>
      </c:pivotFmt>
    </c:pivotFmts>
    <c:plotArea>
      <c:layout/>
      <c:pieChart>
        <c:varyColors val="1"/>
        <c:ser>
          <c:idx val="0"/>
          <c:order val="0"/>
          <c:tx>
            <c:strRef>
              <c:f>Blad2!$B$1</c:f>
              <c:strCache>
                <c:ptCount val="1"/>
                <c:pt idx="0">
                  <c:v>Totaal</c:v>
                </c:pt>
              </c:strCache>
            </c:strRef>
          </c:tx>
          <c:dPt>
            <c:idx val="0"/>
            <c:bubble3D val="0"/>
            <c:spPr>
              <a:solidFill>
                <a:schemeClr val="accent1">
                  <a:shade val="45000"/>
                </a:schemeClr>
              </a:solidFill>
              <a:ln>
                <a:noFill/>
              </a:ln>
              <a:effectLst/>
            </c:spPr>
            <c:extLst>
              <c:ext xmlns:c16="http://schemas.microsoft.com/office/drawing/2014/chart" uri="{C3380CC4-5D6E-409C-BE32-E72D297353CC}">
                <c16:uniqueId val="{00000001-CEB5-4C16-8900-4DFE3A452BFF}"/>
              </c:ext>
            </c:extLst>
          </c:dPt>
          <c:dPt>
            <c:idx val="1"/>
            <c:bubble3D val="0"/>
            <c:spPr>
              <a:solidFill>
                <a:schemeClr val="accent1">
                  <a:shade val="61000"/>
                </a:schemeClr>
              </a:solidFill>
              <a:ln>
                <a:noFill/>
              </a:ln>
              <a:effectLst/>
            </c:spPr>
            <c:extLst>
              <c:ext xmlns:c16="http://schemas.microsoft.com/office/drawing/2014/chart" uri="{C3380CC4-5D6E-409C-BE32-E72D297353CC}">
                <c16:uniqueId val="{00000003-CEB5-4C16-8900-4DFE3A452BFF}"/>
              </c:ext>
            </c:extLst>
          </c:dPt>
          <c:dPt>
            <c:idx val="2"/>
            <c:bubble3D val="0"/>
            <c:spPr>
              <a:solidFill>
                <a:schemeClr val="accent1">
                  <a:shade val="76000"/>
                </a:schemeClr>
              </a:solidFill>
              <a:ln>
                <a:noFill/>
              </a:ln>
              <a:effectLst/>
            </c:spPr>
            <c:extLst>
              <c:ext xmlns:c16="http://schemas.microsoft.com/office/drawing/2014/chart" uri="{C3380CC4-5D6E-409C-BE32-E72D297353CC}">
                <c16:uniqueId val="{00000005-CEB5-4C16-8900-4DFE3A452BFF}"/>
              </c:ext>
            </c:extLst>
          </c:dPt>
          <c:dPt>
            <c:idx val="3"/>
            <c:bubble3D val="0"/>
            <c:spPr>
              <a:solidFill>
                <a:schemeClr val="accent1">
                  <a:shade val="92000"/>
                </a:schemeClr>
              </a:solidFill>
              <a:ln>
                <a:noFill/>
              </a:ln>
              <a:effectLst/>
            </c:spPr>
            <c:extLst>
              <c:ext xmlns:c16="http://schemas.microsoft.com/office/drawing/2014/chart" uri="{C3380CC4-5D6E-409C-BE32-E72D297353CC}">
                <c16:uniqueId val="{00000007-CEB5-4C16-8900-4DFE3A452BFF}"/>
              </c:ext>
            </c:extLst>
          </c:dPt>
          <c:dPt>
            <c:idx val="4"/>
            <c:bubble3D val="0"/>
            <c:spPr>
              <a:solidFill>
                <a:schemeClr val="accent1">
                  <a:tint val="93000"/>
                </a:schemeClr>
              </a:solidFill>
              <a:ln>
                <a:noFill/>
              </a:ln>
              <a:effectLst/>
            </c:spPr>
            <c:extLst>
              <c:ext xmlns:c16="http://schemas.microsoft.com/office/drawing/2014/chart" uri="{C3380CC4-5D6E-409C-BE32-E72D297353CC}">
                <c16:uniqueId val="{00000009-CEB5-4C16-8900-4DFE3A452BFF}"/>
              </c:ext>
            </c:extLst>
          </c:dPt>
          <c:dPt>
            <c:idx val="5"/>
            <c:bubble3D val="0"/>
            <c:spPr>
              <a:solidFill>
                <a:schemeClr val="accent1">
                  <a:tint val="77000"/>
                </a:schemeClr>
              </a:solidFill>
              <a:ln>
                <a:noFill/>
              </a:ln>
              <a:effectLst/>
            </c:spPr>
            <c:extLst>
              <c:ext xmlns:c16="http://schemas.microsoft.com/office/drawing/2014/chart" uri="{C3380CC4-5D6E-409C-BE32-E72D297353CC}">
                <c16:uniqueId val="{0000000B-CEB5-4C16-8900-4DFE3A452BFF}"/>
              </c:ext>
            </c:extLst>
          </c:dPt>
          <c:dPt>
            <c:idx val="6"/>
            <c:bubble3D val="0"/>
            <c:spPr>
              <a:solidFill>
                <a:schemeClr val="accent1">
                  <a:tint val="62000"/>
                </a:schemeClr>
              </a:solidFill>
              <a:ln>
                <a:noFill/>
              </a:ln>
              <a:effectLst/>
            </c:spPr>
            <c:extLst>
              <c:ext xmlns:c16="http://schemas.microsoft.com/office/drawing/2014/chart" uri="{C3380CC4-5D6E-409C-BE32-E72D297353CC}">
                <c16:uniqueId val="{0000000D-CEB5-4C16-8900-4DFE3A452BFF}"/>
              </c:ext>
            </c:extLst>
          </c:dPt>
          <c:dPt>
            <c:idx val="7"/>
            <c:bubble3D val="0"/>
            <c:spPr>
              <a:solidFill>
                <a:schemeClr val="accent1">
                  <a:tint val="46000"/>
                </a:schemeClr>
              </a:solidFill>
              <a:ln>
                <a:noFill/>
              </a:ln>
              <a:effectLst/>
            </c:spPr>
            <c:extLst>
              <c:ext xmlns:c16="http://schemas.microsoft.com/office/drawing/2014/chart" uri="{C3380CC4-5D6E-409C-BE32-E72D297353CC}">
                <c16:uniqueId val="{0000000F-CEB5-4C16-8900-4DFE3A452BFF}"/>
              </c:ext>
            </c:extLst>
          </c:dPt>
          <c:cat>
            <c:strRef>
              <c:f>Blad2!$A$2:$A$10</c:f>
              <c:strCache>
                <c:ptCount val="8"/>
                <c:pt idx="0">
                  <c:v>01 - CONSTRUCTION COSTS</c:v>
                </c:pt>
                <c:pt idx="1">
                  <c:v>02 - INSTALLATIONS</c:v>
                </c:pt>
                <c:pt idx="2">
                  <c:v>03 - JOINERY</c:v>
                </c:pt>
                <c:pt idx="3">
                  <c:v>04 - FURNITURE</c:v>
                </c:pt>
                <c:pt idx="4">
                  <c:v>05 - INVENTORY AND DECORATIONS</c:v>
                </c:pt>
                <c:pt idx="5">
                  <c:v>06 - OTHERS</c:v>
                </c:pt>
                <c:pt idx="6">
                  <c:v>07 - CONSULTANCY COSTS</c:v>
                </c:pt>
                <c:pt idx="7">
                  <c:v>08 - CONTINGENCY</c:v>
                </c:pt>
              </c:strCache>
            </c:strRef>
          </c:cat>
          <c:val>
            <c:numRef>
              <c:f>Blad2!$B$2:$B$10</c:f>
              <c:numCache>
                <c:formatCode>_("€"* #,##0.00_);_("€"* \(#,##0.00\);_("€"* "-"??_);_(@_)</c:formatCode>
                <c:ptCount val="8"/>
                <c:pt idx="0">
                  <c:v>371373</c:v>
                </c:pt>
                <c:pt idx="1">
                  <c:v>548775</c:v>
                </c:pt>
                <c:pt idx="2">
                  <c:v>153500</c:v>
                </c:pt>
                <c:pt idx="3">
                  <c:v>126500</c:v>
                </c:pt>
                <c:pt idx="4">
                  <c:v>101500</c:v>
                </c:pt>
                <c:pt idx="5">
                  <c:v>5700</c:v>
                </c:pt>
                <c:pt idx="6">
                  <c:v>245000</c:v>
                </c:pt>
                <c:pt idx="7">
                  <c:v>200000</c:v>
                </c:pt>
              </c:numCache>
            </c:numRef>
          </c:val>
          <c:extLst>
            <c:ext xmlns:c16="http://schemas.microsoft.com/office/drawing/2014/chart" uri="{C3380CC4-5D6E-409C-BE32-E72D297353CC}">
              <c16:uniqueId val="{00000000-DC57-433F-8A1B-D9C4232418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07742782152233"/>
          <c:y val="8.8747812773403309E-2"/>
          <c:w val="0.35992257217847767"/>
          <c:h val="0.91125218722659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31102</xdr:colOff>
      <xdr:row>1</xdr:row>
      <xdr:rowOff>179069</xdr:rowOff>
    </xdr:from>
    <xdr:to>
      <xdr:col>5</xdr:col>
      <xdr:colOff>594360</xdr:colOff>
      <xdr:row>11</xdr:row>
      <xdr:rowOff>163285</xdr:rowOff>
    </xdr:to>
    <xdr:graphicFrame macro="">
      <xdr:nvGraphicFramePr>
        <xdr:cNvPr id="6" name="Grafiek 5">
          <a:extLst>
            <a:ext uri="{FF2B5EF4-FFF2-40B4-BE49-F238E27FC236}">
              <a16:creationId xmlns:a16="http://schemas.microsoft.com/office/drawing/2014/main" id="{1CECC2DD-A6FF-3E0F-8F39-00627C2DB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2</xdr:row>
      <xdr:rowOff>9525</xdr:rowOff>
    </xdr:from>
    <xdr:to>
      <xdr:col>14</xdr:col>
      <xdr:colOff>590550</xdr:colOff>
      <xdr:row>16</xdr:row>
      <xdr:rowOff>171450</xdr:rowOff>
    </xdr:to>
    <xdr:graphicFrame macro="">
      <xdr:nvGraphicFramePr>
        <xdr:cNvPr id="9" name="Grafiek 6">
          <a:extLst>
            <a:ext uri="{FF2B5EF4-FFF2-40B4-BE49-F238E27FC236}">
              <a16:creationId xmlns:a16="http://schemas.microsoft.com/office/drawing/2014/main" id="{5135BBB6-C6E6-4452-85CD-2444640CF755}"/>
            </a:ext>
            <a:ext uri="{147F2762-F138-4A5C-976F-8EAC2B608ADB}">
              <a16:predDERef xmlns:a16="http://schemas.microsoft.com/office/drawing/2014/main" pred="{1CECC2DD-A6FF-3E0F-8F39-00627C2DB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Grafiek 1">
          <a:extLst>
            <a:ext uri="{FF2B5EF4-FFF2-40B4-BE49-F238E27FC236}">
              <a16:creationId xmlns:a16="http://schemas.microsoft.com/office/drawing/2014/main" id="{CF594D2D-3BBF-BC60-8336-0E983AB76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1965928</xdr:colOff>
      <xdr:row>13</xdr:row>
      <xdr:rowOff>127714</xdr:rowOff>
    </xdr:to>
    <mc:AlternateContent xmlns:mc="http://schemas.openxmlformats.org/markup-compatibility/2006" xmlns:sle15="http://schemas.microsoft.com/office/drawing/2012/slicer">
      <mc:Choice Requires="sle15">
        <xdr:graphicFrame macro="">
          <xdr:nvGraphicFramePr>
            <xdr:cNvPr id="4" name="Headers 1">
              <a:extLst>
                <a:ext uri="{FF2B5EF4-FFF2-40B4-BE49-F238E27FC236}">
                  <a16:creationId xmlns:a16="http://schemas.microsoft.com/office/drawing/2014/main" id="{DE47022B-AE10-170D-1602-9E5BE777638A}"/>
                </a:ext>
              </a:extLst>
            </xdr:cNvPr>
            <xdr:cNvGraphicFramePr/>
          </xdr:nvGraphicFramePr>
          <xdr:xfrm>
            <a:off x="0" y="0"/>
            <a:ext cx="0" cy="0"/>
          </xdr:xfrm>
          <a:graphic>
            <a:graphicData uri="http://schemas.microsoft.com/office/drawing/2010/slicer">
              <sle:slicer xmlns:sle="http://schemas.microsoft.com/office/drawing/2010/slicer" name="Headers 1"/>
            </a:graphicData>
          </a:graphic>
        </xdr:graphicFrame>
      </mc:Choice>
      <mc:Fallback xmlns="">
        <xdr:sp macro="" textlink="">
          <xdr:nvSpPr>
            <xdr:cNvPr id="0" name=""/>
            <xdr:cNvSpPr>
              <a:spLocks noTextEdit="1"/>
            </xdr:cNvSpPr>
          </xdr:nvSpPr>
          <xdr:spPr>
            <a:xfrm>
              <a:off x="0" y="0"/>
              <a:ext cx="1965928" cy="2563616"/>
            </a:xfrm>
            <a:prstGeom prst="rect">
              <a:avLst/>
            </a:prstGeom>
            <a:solidFill>
              <a:prstClr val="white"/>
            </a:solidFill>
            <a:ln w="1">
              <a:solidFill>
                <a:prstClr val="green"/>
              </a:solidFill>
            </a:ln>
          </xdr:spPr>
          <xdr:txBody>
            <a:bodyPr vertOverflow="clip" horzOverflow="clip"/>
            <a:lstStyle/>
            <a:p>
              <a:r>
                <a:rPr lang="nl-NL" sz="1100"/>
                <a:t>Deze vorm vertegenwoordigt een tabelslicer. Tabelslicers worden niet ondersteund in deze versie van Excel.
De slicer kan niet worden gebruikt als de vorm is gewijzigd in een eerdere versie van Excel of als de werkmap is opgeslagen in Excel 2007 of eerder.</a:t>
              </a:r>
            </a:p>
          </xdr:txBody>
        </xdr:sp>
      </mc:Fallback>
    </mc:AlternateContent>
    <xdr:clientData/>
  </xdr:twoCellAnchor>
  <xdr:twoCellAnchor editAs="absolute">
    <xdr:from>
      <xdr:col>0</xdr:col>
      <xdr:colOff>5990</xdr:colOff>
      <xdr:row>13</xdr:row>
      <xdr:rowOff>144467</xdr:rowOff>
    </xdr:from>
    <xdr:to>
      <xdr:col>0</xdr:col>
      <xdr:colOff>1935544</xdr:colOff>
      <xdr:row>24</xdr:row>
      <xdr:rowOff>84542</xdr:rowOff>
    </xdr:to>
    <mc:AlternateContent xmlns:mc="http://schemas.openxmlformats.org/markup-compatibility/2006" xmlns:sle15="http://schemas.microsoft.com/office/drawing/2012/slicer">
      <mc:Choice Requires="sle15">
        <xdr:graphicFrame macro="">
          <xdr:nvGraphicFramePr>
            <xdr:cNvPr id="5" name="Subheaders">
              <a:extLst>
                <a:ext uri="{FF2B5EF4-FFF2-40B4-BE49-F238E27FC236}">
                  <a16:creationId xmlns:a16="http://schemas.microsoft.com/office/drawing/2014/main" id="{014ADF3B-8A0F-58B3-E2F1-98D4B01485B4}"/>
                </a:ext>
              </a:extLst>
            </xdr:cNvPr>
            <xdr:cNvGraphicFramePr/>
          </xdr:nvGraphicFramePr>
          <xdr:xfrm>
            <a:off x="0" y="0"/>
            <a:ext cx="0" cy="0"/>
          </xdr:xfrm>
          <a:graphic>
            <a:graphicData uri="http://schemas.microsoft.com/office/drawing/2010/slicer">
              <sle:slicer xmlns:sle="http://schemas.microsoft.com/office/drawing/2010/slicer" name="Subheaders"/>
            </a:graphicData>
          </a:graphic>
        </xdr:graphicFrame>
      </mc:Choice>
      <mc:Fallback xmlns="">
        <xdr:sp macro="" textlink="">
          <xdr:nvSpPr>
            <xdr:cNvPr id="0" name=""/>
            <xdr:cNvSpPr>
              <a:spLocks noTextEdit="1"/>
            </xdr:cNvSpPr>
          </xdr:nvSpPr>
          <xdr:spPr>
            <a:xfrm>
              <a:off x="5990" y="2642670"/>
              <a:ext cx="1929554" cy="2062100"/>
            </a:xfrm>
            <a:prstGeom prst="rect">
              <a:avLst/>
            </a:prstGeom>
            <a:solidFill>
              <a:prstClr val="white"/>
            </a:solidFill>
            <a:ln w="1">
              <a:solidFill>
                <a:prstClr val="green"/>
              </a:solidFill>
            </a:ln>
          </xdr:spPr>
          <xdr:txBody>
            <a:bodyPr vertOverflow="clip" horzOverflow="clip"/>
            <a:lstStyle/>
            <a:p>
              <a:r>
                <a:rPr lang="nl-NL" sz="1100"/>
                <a:t>Deze vorm vertegenwoordigt een tabelslicer. Tabelslicers worden niet ondersteund in deze versie van Excel.
De slicer kan niet worden gebruikt als de vorm is gewijzigd in een eerdere versie van Excel of als de werkmap is opgeslagen in Excel 2007 of eerder.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307382</xdr:colOff>
      <xdr:row>3</xdr:row>
      <xdr:rowOff>100739</xdr:rowOff>
    </xdr:from>
    <xdr:to>
      <xdr:col>7</xdr:col>
      <xdr:colOff>848316</xdr:colOff>
      <xdr:row>5</xdr:row>
      <xdr:rowOff>31212</xdr:rowOff>
    </xdr:to>
    <xdr:sp macro="" textlink="">
      <xdr:nvSpPr>
        <xdr:cNvPr id="4" name="Rechthoek: afgeronde hoeken 3">
          <a:extLst>
            <a:ext uri="{FF2B5EF4-FFF2-40B4-BE49-F238E27FC236}">
              <a16:creationId xmlns:a16="http://schemas.microsoft.com/office/drawing/2014/main" id="{ACD15E92-91A8-4786-8823-9A04FB8D9A56}"/>
            </a:ext>
            <a:ext uri="{6ECC49D1-AA05-4338-93AA-15A1B29DFB0A}">
              <asl:scriptLink xmlns:asl="http://schemas.microsoft.com/office/drawing/2021/scriptlink" val="{&quot;shareId&quot;:&quot;ms-officescript%3A%2F%2Fonedrive_business_sharinglink%2Fu!aHR0cHM6Ly9hdmFucy1teS5zaGFyZXBvaW50LmNvbS86dTovZy9wZXJzb25hbC9yZGFfdmFubW9va19zdHVkZW50X2F2YW5zX25sL0VUNEJTSlZFbWp0R3JWYnFiNGxGZ2FNQmdydFRCbU5IN0FKalBBa0h5ZUtnLUE&quot;}"/>
            </a:ext>
          </a:extLst>
        </xdr:cNvPr>
        <xdr:cNvSpPr/>
      </xdr:nvSpPr>
      <xdr:spPr>
        <a:xfrm>
          <a:off x="6997484" y="643180"/>
          <a:ext cx="1231900" cy="292100"/>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a:t>New Subheader</a:t>
          </a:r>
        </a:p>
      </xdr:txBody>
    </xdr:sp>
    <xdr:clientData/>
  </xdr:twoCellAnchor>
  <xdr:twoCellAnchor>
    <xdr:from>
      <xdr:col>9</xdr:col>
      <xdr:colOff>83429</xdr:colOff>
      <xdr:row>2</xdr:row>
      <xdr:rowOff>106289</xdr:rowOff>
    </xdr:from>
    <xdr:to>
      <xdr:col>10</xdr:col>
      <xdr:colOff>512623</xdr:colOff>
      <xdr:row>4</xdr:row>
      <xdr:rowOff>33671</xdr:rowOff>
    </xdr:to>
    <xdr:sp macro="" textlink="">
      <xdr:nvSpPr>
        <xdr:cNvPr id="2" name="Rechthoek: afgeronde hoeken 1">
          <a:extLst>
            <a:ext uri="{FF2B5EF4-FFF2-40B4-BE49-F238E27FC236}">
              <a16:creationId xmlns:a16="http://schemas.microsoft.com/office/drawing/2014/main" id="{37F2B653-F714-473E-886A-E13F1E8C3863}"/>
            </a:ext>
            <a:ext uri="{6ECC49D1-AA05-4338-93AA-15A1B29DFB0A}">
              <asl:scriptLink xmlns:asl="http://schemas.microsoft.com/office/drawing/2021/scriptlink" val="{&quot;shareId&quot;:&quot;ms-officescript%3A%2F%2Fonedrive_business_sharinglink%2Fu!aHR0cHM6Ly9hdmFucy1teS5zaGFyZXBvaW50LmNvbS86dTovZy9wZXJzb25hbC9yZGFfdmFubW9va19zdHVkZW50X2F2YW5zX25sL0VidG1iZ3cyNGNWS3MzbDloQWVYUWFzQnp1U1lJQU52UXktZGhiYTdRUmVzdkE&quot;}"/>
            </a:ext>
          </a:extLst>
        </xdr:cNvPr>
        <xdr:cNvSpPr/>
      </xdr:nvSpPr>
      <xdr:spPr>
        <a:xfrm>
          <a:off x="9175326" y="471007"/>
          <a:ext cx="1041400" cy="292100"/>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a:t>New Header</a:t>
          </a:r>
        </a:p>
      </xdr:txBody>
    </xdr:sp>
    <xdr:clientData/>
  </xdr:twoCellAnchor>
  <xdr:twoCellAnchor>
    <xdr:from>
      <xdr:col>3</xdr:col>
      <xdr:colOff>312615</xdr:colOff>
      <xdr:row>8</xdr:row>
      <xdr:rowOff>121919</xdr:rowOff>
    </xdr:from>
    <xdr:to>
      <xdr:col>4</xdr:col>
      <xdr:colOff>948592</xdr:colOff>
      <xdr:row>10</xdr:row>
      <xdr:rowOff>49301</xdr:rowOff>
    </xdr:to>
    <xdr:sp macro="" textlink="">
      <xdr:nvSpPr>
        <xdr:cNvPr id="5" name="Rechthoek: afgeronde hoeken 4">
          <a:extLst>
            <a:ext uri="{FF2B5EF4-FFF2-40B4-BE49-F238E27FC236}">
              <a16:creationId xmlns:a16="http://schemas.microsoft.com/office/drawing/2014/main" id="{515798AF-DE37-4BAF-809A-7593962039FB}"/>
            </a:ext>
            <a:ext uri="{6ECC49D1-AA05-4338-93AA-15A1B29DFB0A}">
              <asl:scriptLink xmlns:asl="http://schemas.microsoft.com/office/drawing/2021/scriptlink" val="{&quot;shareId&quot;:&quot;ms-officescript%3A%2F%2Fonedrive_business_sharinglink%2Fu!aHR0cHM6Ly9hdmFucy1teS5zaGFyZXBvaW50LmNvbS86dTovZy9wZXJzb25hbC9yZGFfdmFubW9va19zdHVkZW50X2F2YW5zX25sL0VRN08yakhnYzU1QXRvWlF1MHBRaG9NQmQ3OU5QcGdPVGU0SkR5NVhleGN0U1E&quot;}"/>
            </a:ext>
          </a:extLst>
        </xdr:cNvPr>
        <xdr:cNvSpPr/>
      </xdr:nvSpPr>
      <xdr:spPr>
        <a:xfrm>
          <a:off x="312615" y="1580791"/>
          <a:ext cx="1358900" cy="292100"/>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a:t>New budget item</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Rob Van Mook" refreshedDate="45666.768889120372" createdVersion="8" refreshedVersion="8" minRefreshableVersion="3" recordCount="91" xr:uid="{0A8DF887-1329-46EB-BFC7-322BFB059035}">
  <cacheSource type="worksheet">
    <worksheetSource name="Budget_items"/>
  </cacheSource>
  <cacheFields count="9">
    <cacheField name="Headers" numFmtId="0">
      <sharedItems count="8">
        <s v="01 - CONSTRUCTION COSTS"/>
        <s v="02 - INSTALLATIONS"/>
        <s v="03 - JOINERY"/>
        <s v="04 - FURNITURE"/>
        <s v="05 - INVENTORY AND DECORATIONS"/>
        <s v="06 - OTHERS"/>
        <s v="07 - CONSULTANCY COSTS"/>
        <s v="08 - CONTINGENCY"/>
      </sharedItems>
    </cacheField>
    <cacheField name="Subheaders" numFmtId="0">
      <sharedItems count="20">
        <s v="01.05 - Flooring"/>
        <s v="01.01 - General construction"/>
        <s v="01.02 - Demolition"/>
        <s v="01.03 - Partitioning"/>
        <s v="01.04 - Ceiling"/>
        <s v="01.06 - Painting"/>
        <s v="02.01 - Mechanical installation &amp; plumbing"/>
        <s v="02.02 - Electrical installation"/>
        <s v="02.03 - Data installation"/>
        <s v="02.04 - Security installation &amp; access control"/>
        <s v="02.05 - Fire safety installation"/>
        <s v="02.06 - Audiovisual installation"/>
        <s v="03.01 - Joinery"/>
        <s v="04.01 - Workplace furniture"/>
        <s v="04.02 - Meeting furniture"/>
        <s v="04.03 - Loose furniture"/>
        <s v="05.01 - Inventory &amp; decorations"/>
        <s v="06.01 - Move"/>
        <s v="07.01 - Consultancy costs"/>
        <s v="08.01 - Contingency"/>
      </sharedItems>
    </cacheField>
    <cacheField name="Code" numFmtId="2">
      <sharedItems/>
    </cacheField>
    <cacheField name="Description" numFmtId="0">
      <sharedItems/>
    </cacheField>
    <cacheField name="Quantity" numFmtId="0">
      <sharedItems containsSemiMixedTypes="0" containsString="0" containsNumber="1" containsInteger="1" minValue="0" maxValue="4000"/>
    </cacheField>
    <cacheField name="Unit" numFmtId="0">
      <sharedItems/>
    </cacheField>
    <cacheField name="€ /  Unit" numFmtId="44">
      <sharedItems containsSemiMixedTypes="0" containsString="0" containsNumber="1" containsInteger="1" minValue="0" maxValue="200000"/>
    </cacheField>
    <cacheField name="€ /  Unit + Finishing" numFmtId="44">
      <sharedItems containsSemiMixedTypes="0" containsString="0" containsNumber="1" containsInteger="1" minValue="0" maxValue="200000"/>
    </cacheField>
    <cacheField name="Total" numFmtId="44">
      <sharedItems containsSemiMixedTypes="0" containsString="0" containsNumber="1" containsInteger="1" minValue="0" maxValue="20000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DF0D7-3C80-4275-B051-00C79B179FC0}" name="Draaitabel19" cacheId="47"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chartFormat="14">
  <location ref="A1:B10" firstHeaderRow="1" firstDataRow="1" firstDataCol="1"/>
  <pivotFields count="9">
    <pivotField axis="axisRow" showAll="0">
      <items count="9">
        <item x="0"/>
        <item x="1"/>
        <item x="2"/>
        <item x="3"/>
        <item x="4"/>
        <item x="5"/>
        <item x="6"/>
        <item x="7"/>
        <item t="default"/>
      </items>
    </pivotField>
    <pivotField showAll="0">
      <items count="21">
        <item x="1"/>
        <item x="2"/>
        <item x="3"/>
        <item x="4"/>
        <item x="0"/>
        <item x="5"/>
        <item x="6"/>
        <item x="7"/>
        <item x="8"/>
        <item x="9"/>
        <item x="10"/>
        <item x="11"/>
        <item x="12"/>
        <item x="13"/>
        <item x="14"/>
        <item x="15"/>
        <item x="16"/>
        <item x="17"/>
        <item x="18"/>
        <item x="19"/>
        <item t="default"/>
      </items>
    </pivotField>
    <pivotField showAll="0"/>
    <pivotField showAll="0"/>
    <pivotField showAll="0"/>
    <pivotField showAll="0"/>
    <pivotField numFmtId="44" showAll="0"/>
    <pivotField numFmtId="44" showAll="0"/>
    <pivotField dataField="1" numFmtId="44" showAll="0"/>
  </pivotFields>
  <rowFields count="1">
    <field x="0"/>
  </rowFields>
  <rowItems count="9">
    <i>
      <x/>
    </i>
    <i>
      <x v="1"/>
    </i>
    <i>
      <x v="2"/>
    </i>
    <i>
      <x v="3"/>
    </i>
    <i>
      <x v="4"/>
    </i>
    <i>
      <x v="5"/>
    </i>
    <i>
      <x v="6"/>
    </i>
    <i>
      <x v="7"/>
    </i>
    <i t="grand">
      <x/>
    </i>
  </rowItems>
  <colItems count="1">
    <i/>
  </colItems>
  <dataFields count="1">
    <dataField name="Som van Total" fld="8" baseField="0" baseItem="0" numFmtId="44"/>
  </dataFields>
  <chartFormats count="18">
    <chartFormat chart="0" format="0"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0"/>
          </reference>
        </references>
      </pivotArea>
    </chartFormat>
    <chartFormat chart="13" format="21">
      <pivotArea type="data" outline="0" fieldPosition="0">
        <references count="2">
          <reference field="4294967294" count="1" selected="0">
            <x v="0"/>
          </reference>
          <reference field="0" count="1" selected="0">
            <x v="1"/>
          </reference>
        </references>
      </pivotArea>
    </chartFormat>
    <chartFormat chart="13" format="22">
      <pivotArea type="data" outline="0" fieldPosition="0">
        <references count="2">
          <reference field="4294967294" count="1" selected="0">
            <x v="0"/>
          </reference>
          <reference field="0" count="1" selected="0">
            <x v="2"/>
          </reference>
        </references>
      </pivotArea>
    </chartFormat>
    <chartFormat chart="13" format="23">
      <pivotArea type="data" outline="0" fieldPosition="0">
        <references count="2">
          <reference field="4294967294" count="1" selected="0">
            <x v="0"/>
          </reference>
          <reference field="0" count="1" selected="0">
            <x v="3"/>
          </reference>
        </references>
      </pivotArea>
    </chartFormat>
    <chartFormat chart="13" format="24">
      <pivotArea type="data" outline="0" fieldPosition="0">
        <references count="2">
          <reference field="4294967294" count="1" selected="0">
            <x v="0"/>
          </reference>
          <reference field="0" count="1" selected="0">
            <x v="4"/>
          </reference>
        </references>
      </pivotArea>
    </chartFormat>
    <chartFormat chart="13" format="25">
      <pivotArea type="data" outline="0" fieldPosition="0">
        <references count="2">
          <reference field="4294967294" count="1" selected="0">
            <x v="0"/>
          </reference>
          <reference field="0" count="1" selected="0">
            <x v="5"/>
          </reference>
        </references>
      </pivotArea>
    </chartFormat>
    <chartFormat chart="13" format="26">
      <pivotArea type="data" outline="0" fieldPosition="0">
        <references count="2">
          <reference field="4294967294" count="1" selected="0">
            <x v="0"/>
          </reference>
          <reference field="0" count="1" selected="0">
            <x v="6"/>
          </reference>
        </references>
      </pivotArea>
    </chartFormat>
    <chartFormat chart="13" format="27">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Drees &amp; Sommer Netherlands B.V. - Dutch ...</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ders" xr10:uid="{74C1BCD6-BD02-4BA5-9BB7-16690A308F55}" sourceName="Headers">
  <extLst>
    <x:ext xmlns:x15="http://schemas.microsoft.com/office/spreadsheetml/2010/11/main" uri="{2F2917AC-EB37-4324-AD4E-5DD8C200BD13}">
      <x15:tableSlicerCache tableId="3"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headers" xr10:uid="{74F48378-DF1E-46B4-A2F6-966886BAA358}" sourceName="Subheaders">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ders 1" xr10:uid="{A62F040E-D939-4FE6-B9BE-16121F06E823}" cache="Slicer_Headers" caption="Headers" rowHeight="247650"/>
  <slicer name="Subheaders" xr10:uid="{4ABB4524-D23D-4C60-B28E-8BAA6853EBFD}" cache="Slicer_Subheaders" caption="Subheader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19DAAA-508E-4CA4-9798-9342363B6E75}" name="Budget_items" displayName="Budget_items" ref="B1:J91" totalsRowCount="1">
  <autoFilter ref="B1:J90" xr:uid="{7419DAAA-508E-4CA4-9798-9342363B6E75}"/>
  <sortState xmlns:xlrd2="http://schemas.microsoft.com/office/spreadsheetml/2017/richdata2" ref="B2:J91">
    <sortCondition ref="D2:D91"/>
  </sortState>
  <tableColumns count="9">
    <tableColumn id="9" xr3:uid="{F9C1F904-4BA2-45D8-AAC6-59800F940F90}" name="Headers"/>
    <tableColumn id="1" xr3:uid="{C98934C4-7862-409E-820A-3796319ECF7B}" name="Subheaders"/>
    <tableColumn id="2" xr3:uid="{B66C0B99-AD80-49C8-91AA-F6512D6C38D5}" name="Code" dataDxfId="2"/>
    <tableColumn id="3" xr3:uid="{FFBE67C6-2C6A-483B-9802-C0C6DE3E738C}" name="Description"/>
    <tableColumn id="4" xr3:uid="{D049DBBC-DF1B-4DE6-B357-BFFE51E5734A}" name="Quantity"/>
    <tableColumn id="5" xr3:uid="{BA6B1054-E39E-4075-B292-18D21D449BE9}" name="Unit"/>
    <tableColumn id="6" xr3:uid="{EFBA5D0D-C0AD-4AF4-B4EA-66F27DCA4690}" name="€ /  Unit" totalsRowLabel=" " dataCellStyle="Valuta"/>
    <tableColumn id="10" xr3:uid="{1A1A790D-A274-4676-8C76-74E0022FEF52}" name="€ /  Unit + Finishing" dataDxfId="1">
      <calculatedColumnFormula>Budget_items[[#This Row],[€ /  Unit]]*Row!$F$1</calculatedColumnFormula>
    </tableColumn>
    <tableColumn id="7" xr3:uid="{B5F6C697-05F4-495E-B200-D9E0C5914B4B}" name="Total" totalsRowFunction="sum" dataDxfId="0" totalsRowDxfId="19" dataCellStyle="Valuta">
      <calculatedColumnFormula>PRODUCT(Budget_items[[#This Row],[Quantity]],Budget_items[[#This Row],[€ /  Unit + Finishing]])</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11873A-AEE9-47E4-A636-3607A1042BCF}" name="Tabel2" displayName="Tabel2" ref="M1:N9" totalsRowShown="0" headerRowDxfId="18" dataDxfId="16" headerRowBorderDxfId="17" tableBorderDxfId="15" totalsRowBorderDxfId="14">
  <autoFilter ref="M1:N9" xr:uid="{0411873A-AEE9-47E4-A636-3607A1042BCF}"/>
  <sortState xmlns:xlrd2="http://schemas.microsoft.com/office/spreadsheetml/2017/richdata2" ref="M2:N9">
    <sortCondition ref="N2:N9"/>
  </sortState>
  <tableColumns count="2">
    <tableColumn id="1" xr3:uid="{FFA44678-CE70-4E35-992B-0C6033C509FA}" name="Headers" dataDxfId="13"/>
    <tableColumn id="2" xr3:uid="{B54AC9C8-3C95-42E6-92E7-07DA9538187E}" name="Kolom1" dataDxfId="12">
      <calculatedColumnFormula>LEFT(M2,2)</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9B66A9-E859-4F50-AFFB-ED69CC71260C}" name="Tabel5" displayName="Tabel5" ref="P1:R21" totalsRowShown="0" headerRowDxfId="11" tableBorderDxfId="10">
  <autoFilter ref="P1:R21" xr:uid="{189B66A9-E859-4F50-AFFB-ED69CC71260C}"/>
  <sortState xmlns:xlrd2="http://schemas.microsoft.com/office/spreadsheetml/2017/richdata2" ref="P2:R21">
    <sortCondition ref="R1:R21"/>
  </sortState>
  <tableColumns count="3">
    <tableColumn id="1" xr3:uid="{1A9ED77A-1456-4279-A3E4-1277A3E53684}" name="Subheaders" dataDxfId="9"/>
    <tableColumn id="2" xr3:uid="{25845435-976A-4BF3-9213-59215FCD1CED}" name="Kolom2" dataDxfId="8">
      <calculatedColumnFormula>LEFT(P2,5)</calculatedColumnFormula>
    </tableColumn>
    <tableColumn id="3" xr3:uid="{537E0771-2CAC-46E8-9D79-2CE09ED64E31}" name="Kolom3" dataDxfId="7">
      <calculatedColumnFormula>SUBSTITUTE(Q2," "&amp;"-","")</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B271CB-1A39-4726-B6F5-FA8255F7AFCF}" name="Eenheidsprijzenoverzicht" displayName="Eenheidsprijzenoverzicht" ref="A1:D92" totalsRowShown="0">
  <autoFilter ref="A1:D92" xr:uid="{83B271CB-1A39-4726-B6F5-FA8255F7AFCF}"/>
  <tableColumns count="4">
    <tableColumn id="1" xr3:uid="{8907E7A6-DC05-45A1-8AC6-9DB007ED136E}" name="Code" dataDxfId="6">
      <calculatedColumnFormula>Budget_items[[#This Row],[Code]]</calculatedColumnFormula>
    </tableColumn>
    <tableColumn id="2" xr3:uid="{B5CB1D61-CA94-467E-B006-C24E70337977}" name="Description" dataDxfId="5">
      <calculatedColumnFormula>Budget_items[[#This Row],[Description]]</calculatedColumnFormula>
    </tableColumn>
    <tableColumn id="4" xr3:uid="{A794D3E5-2B75-4671-A212-3E6BF7E1EE6F}" name="€ /  Unit" dataCellStyle="Valuta">
      <calculatedColumnFormula>Budget_items[[#This Row],[€ /  Unit]]</calculatedColumnFormula>
    </tableColumn>
    <tableColumn id="3" xr3:uid="{A6915307-3EFD-4E47-BCF4-004E9E3E8AED}" name="€ /  Unit + Finishing" dataDxfId="4" dataCellStyle="Valuta">
      <calculatedColumnFormula>Budget_items[[#This Row],[€ /  Unit + Finishing]]</calculatedColumnFormula>
    </tableColumn>
  </tableColumns>
  <tableStyleInfo name="TableStyleLight9" showFirstColumn="0" showLastColumn="0" showRowStripes="1" showColumnStripes="0"/>
</table>
</file>

<file path=xl/theme/theme1.xml><?xml version="1.0" encoding="utf-8"?>
<a:theme xmlns:a="http://schemas.openxmlformats.org/drawingml/2006/main" name="Kantoorthema">
  <a:themeElements>
    <a:clrScheme name="Diepblauw">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C071-4725-475E-AE19-796D4A7011EF}">
  <dimension ref="A1:V23"/>
  <sheetViews>
    <sheetView zoomScale="98" zoomScaleNormal="100" zoomScaleSheetLayoutView="71" workbookViewId="0">
      <selection activeCell="T8" sqref="T8"/>
    </sheetView>
  </sheetViews>
  <sheetFormatPr defaultRowHeight="14.4" x14ac:dyDescent="0.3"/>
  <cols>
    <col min="1" max="1" width="12.109375" bestFit="1" customWidth="1"/>
    <col min="2" max="2" width="20.33203125" customWidth="1"/>
    <col min="3" max="3" width="1.77734375" customWidth="1"/>
    <col min="4" max="4" width="21.33203125" bestFit="1" customWidth="1"/>
    <col min="5" max="5" width="14.109375" bestFit="1" customWidth="1"/>
    <col min="7" max="7" width="3.44140625" customWidth="1"/>
  </cols>
  <sheetData>
    <row r="1" spans="1:22" ht="82.2" customHeight="1" x14ac:dyDescent="0.3">
      <c r="A1" s="42" t="e" vm="1">
        <v>#VALUE!</v>
      </c>
      <c r="B1" s="42"/>
      <c r="C1" s="42"/>
      <c r="D1" s="41"/>
      <c r="E1" s="7"/>
      <c r="F1" s="7"/>
      <c r="G1" s="7"/>
      <c r="H1" s="7"/>
      <c r="I1" s="7"/>
      <c r="J1" s="7"/>
      <c r="K1" s="7"/>
      <c r="L1" s="7"/>
      <c r="M1" s="7"/>
      <c r="N1" s="7"/>
      <c r="O1" s="7"/>
      <c r="P1" s="7"/>
      <c r="Q1" s="7"/>
      <c r="R1" s="7"/>
      <c r="S1" s="7"/>
      <c r="T1" s="7"/>
      <c r="U1" s="7"/>
      <c r="V1" s="7"/>
    </row>
    <row r="2" spans="1:22" x14ac:dyDescent="0.3">
      <c r="A2" s="8" t="s">
        <v>234</v>
      </c>
      <c r="B2" s="34">
        <f ca="1">NOW()</f>
        <v>45670.433043865742</v>
      </c>
      <c r="C2" s="33"/>
      <c r="D2" s="33"/>
      <c r="E2" s="33"/>
      <c r="F2" s="33"/>
      <c r="G2" s="33"/>
      <c r="H2" s="33"/>
      <c r="I2" s="33"/>
      <c r="J2" s="33"/>
      <c r="K2" s="33"/>
      <c r="L2" s="33"/>
      <c r="M2" s="33"/>
      <c r="N2" s="33"/>
      <c r="O2" s="33"/>
      <c r="P2" s="33"/>
      <c r="Q2" s="33"/>
      <c r="R2" s="33"/>
      <c r="S2" s="33"/>
      <c r="T2" s="33"/>
      <c r="U2" s="33"/>
      <c r="V2" s="33"/>
    </row>
    <row r="3" spans="1:22" x14ac:dyDescent="0.3">
      <c r="A3" s="8" t="s">
        <v>235</v>
      </c>
      <c r="B3" s="8" t="s">
        <v>236</v>
      </c>
      <c r="C3" s="33"/>
      <c r="G3" s="33"/>
    </row>
    <row r="4" spans="1:22" x14ac:dyDescent="0.3">
      <c r="A4" s="8" t="s">
        <v>237</v>
      </c>
      <c r="B4" s="8" t="s">
        <v>239</v>
      </c>
      <c r="C4" s="33"/>
      <c r="G4" s="33"/>
    </row>
    <row r="5" spans="1:22" x14ac:dyDescent="0.3">
      <c r="A5" s="8" t="s">
        <v>242</v>
      </c>
      <c r="B5" s="35">
        <v>2000000</v>
      </c>
      <c r="C5" s="33"/>
      <c r="G5" s="33"/>
    </row>
    <row r="6" spans="1:22" x14ac:dyDescent="0.3">
      <c r="A6" s="8" t="s">
        <v>245</v>
      </c>
      <c r="B6" s="36">
        <f>Budget_items[[#Totals],[Total]]</f>
        <v>1751800</v>
      </c>
      <c r="C6" s="33"/>
      <c r="G6" s="33"/>
    </row>
    <row r="7" spans="1:22" x14ac:dyDescent="0.3">
      <c r="A7" s="8" t="s">
        <v>246</v>
      </c>
      <c r="B7" s="36">
        <f>B5-B6</f>
        <v>248200</v>
      </c>
      <c r="C7" s="33"/>
      <c r="G7" s="33"/>
    </row>
    <row r="8" spans="1:22" x14ac:dyDescent="0.3">
      <c r="A8" s="7"/>
      <c r="B8" s="7"/>
      <c r="C8" s="33"/>
      <c r="G8" s="33"/>
    </row>
    <row r="9" spans="1:22" x14ac:dyDescent="0.3">
      <c r="A9" s="7"/>
      <c r="B9" s="7"/>
      <c r="C9" s="33"/>
      <c r="G9" s="33"/>
    </row>
    <row r="10" spans="1:22" x14ac:dyDescent="0.3">
      <c r="A10" s="7"/>
      <c r="B10" s="7"/>
      <c r="C10" s="33"/>
      <c r="G10" s="33"/>
    </row>
    <row r="11" spans="1:22" x14ac:dyDescent="0.3">
      <c r="A11" s="7"/>
      <c r="B11" s="7"/>
      <c r="C11" s="33"/>
      <c r="G11" s="33"/>
    </row>
    <row r="12" spans="1:22" x14ac:dyDescent="0.3">
      <c r="A12" s="7"/>
      <c r="B12" s="7"/>
      <c r="C12" s="33"/>
      <c r="G12" s="33"/>
    </row>
    <row r="13" spans="1:22" x14ac:dyDescent="0.3">
      <c r="A13" s="7"/>
      <c r="B13" s="7"/>
      <c r="C13" s="33"/>
      <c r="D13" s="8" t="s">
        <v>242</v>
      </c>
      <c r="E13" s="35">
        <v>2000000</v>
      </c>
      <c r="F13" s="39">
        <v>1</v>
      </c>
      <c r="G13" s="33"/>
    </row>
    <row r="14" spans="1:22" x14ac:dyDescent="0.3">
      <c r="A14" s="7"/>
      <c r="B14" s="7"/>
      <c r="C14" s="33"/>
      <c r="D14" s="8" t="s">
        <v>245</v>
      </c>
      <c r="E14" s="36">
        <f>Budget_items[[#Totals],[Total]]</f>
        <v>1751800</v>
      </c>
      <c r="F14" s="40">
        <f>E14/E13</f>
        <v>0.87590000000000001</v>
      </c>
      <c r="G14" s="33"/>
    </row>
    <row r="15" spans="1:22" x14ac:dyDescent="0.3">
      <c r="A15" s="7"/>
      <c r="B15" s="7"/>
      <c r="C15" s="33"/>
      <c r="D15" s="8" t="s">
        <v>246</v>
      </c>
      <c r="E15" s="36">
        <f>E13-E14</f>
        <v>248200</v>
      </c>
      <c r="F15" s="40">
        <f>E15/E14</f>
        <v>0.14168284050690719</v>
      </c>
      <c r="G15" s="33"/>
    </row>
    <row r="16" spans="1:22" x14ac:dyDescent="0.3">
      <c r="A16" s="7"/>
      <c r="B16" s="7"/>
      <c r="C16" s="33"/>
      <c r="G16" s="33"/>
    </row>
    <row r="17" spans="1:15" x14ac:dyDescent="0.3">
      <c r="A17" s="7"/>
      <c r="B17" s="7"/>
      <c r="C17" s="33"/>
      <c r="G17" s="33"/>
    </row>
    <row r="18" spans="1:15" x14ac:dyDescent="0.3">
      <c r="A18" s="7"/>
      <c r="B18" s="7"/>
      <c r="C18" s="33"/>
      <c r="G18" s="33"/>
      <c r="H18" s="33"/>
      <c r="I18" s="33"/>
      <c r="J18" s="33"/>
      <c r="K18" s="33"/>
      <c r="L18" s="33"/>
      <c r="M18" s="33"/>
      <c r="N18" s="33"/>
      <c r="O18" s="33"/>
    </row>
    <row r="19" spans="1:15" x14ac:dyDescent="0.3">
      <c r="A19" s="7"/>
      <c r="B19" s="7"/>
      <c r="C19" s="33"/>
      <c r="G19" s="33"/>
      <c r="H19" s="43" t="s">
        <v>250</v>
      </c>
      <c r="I19" s="43"/>
      <c r="J19" s="43"/>
      <c r="K19" s="43"/>
      <c r="L19" s="43"/>
      <c r="M19" s="43"/>
      <c r="N19" s="43"/>
      <c r="O19" s="43"/>
    </row>
    <row r="20" spans="1:15" x14ac:dyDescent="0.3">
      <c r="A20" s="7"/>
      <c r="B20" s="7"/>
      <c r="C20" s="33"/>
      <c r="G20" s="33"/>
      <c r="H20" s="44">
        <f>COUNTA(Budget_items[Headers])</f>
        <v>89</v>
      </c>
      <c r="I20" s="44"/>
      <c r="J20" s="44"/>
      <c r="K20" s="44"/>
      <c r="L20" s="44"/>
      <c r="M20" s="44"/>
      <c r="N20" s="44"/>
      <c r="O20" s="44"/>
    </row>
    <row r="21" spans="1:15" x14ac:dyDescent="0.3">
      <c r="A21" s="7"/>
      <c r="B21" s="7"/>
      <c r="C21" s="33"/>
      <c r="G21" s="33"/>
      <c r="H21" s="44"/>
      <c r="I21" s="44"/>
      <c r="J21" s="44"/>
      <c r="K21" s="44"/>
      <c r="L21" s="44"/>
      <c r="M21" s="44"/>
      <c r="N21" s="44"/>
      <c r="O21" s="44"/>
    </row>
    <row r="22" spans="1:15" x14ac:dyDescent="0.3">
      <c r="A22" s="7"/>
      <c r="B22" s="7"/>
      <c r="C22" s="33"/>
      <c r="G22" s="33"/>
      <c r="H22" s="44"/>
      <c r="I22" s="44"/>
      <c r="J22" s="44"/>
      <c r="K22" s="44"/>
      <c r="L22" s="44"/>
      <c r="M22" s="44"/>
      <c r="N22" s="44"/>
      <c r="O22" s="44"/>
    </row>
    <row r="23" spans="1:15" x14ac:dyDescent="0.3">
      <c r="A23" s="7"/>
      <c r="B23" s="7"/>
      <c r="C23" s="33"/>
      <c r="G23" s="33"/>
      <c r="H23" s="44"/>
      <c r="I23" s="44"/>
      <c r="J23" s="44"/>
      <c r="K23" s="44"/>
      <c r="L23" s="44"/>
      <c r="M23" s="44"/>
      <c r="N23" s="44"/>
      <c r="O23" s="44"/>
    </row>
  </sheetData>
  <mergeCells count="3">
    <mergeCell ref="A1:C1"/>
    <mergeCell ref="H19:O19"/>
    <mergeCell ref="H20:O23"/>
  </mergeCells>
  <pageMargins left="0.7" right="0.7" top="0.75" bottom="0.75" header="0.3" footer="0.3"/>
  <pageSetup paperSize="9" scale="58" orientation="portrait" horizontalDpi="300" verticalDpi="300" r:id="rId1"/>
  <colBreaks count="1" manualBreakCount="1">
    <brk id="15"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C5D9A64-46F6-4936-A68F-B720A78184A8}">
          <x14:formula1>
            <xm:f>Row!$E$1:$E$3</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EA39-5B85-4019-951C-DC559FAC1550}">
  <dimension ref="A1:B10"/>
  <sheetViews>
    <sheetView workbookViewId="0">
      <selection activeCell="E19" sqref="E19"/>
    </sheetView>
  </sheetViews>
  <sheetFormatPr defaultRowHeight="14.4" x14ac:dyDescent="0.3"/>
  <cols>
    <col min="1" max="1" width="30.77734375" bestFit="1" customWidth="1"/>
    <col min="2" max="2" width="13.77734375" bestFit="1" customWidth="1"/>
  </cols>
  <sheetData>
    <row r="1" spans="1:2" x14ac:dyDescent="0.3">
      <c r="A1" s="37" t="s">
        <v>247</v>
      </c>
      <c r="B1" t="s">
        <v>249</v>
      </c>
    </row>
    <row r="2" spans="1:2" x14ac:dyDescent="0.3">
      <c r="A2" s="38" t="s">
        <v>117</v>
      </c>
      <c r="B2" s="30">
        <v>371373</v>
      </c>
    </row>
    <row r="3" spans="1:2" x14ac:dyDescent="0.3">
      <c r="A3" s="38" t="s">
        <v>118</v>
      </c>
      <c r="B3" s="30">
        <v>548775</v>
      </c>
    </row>
    <row r="4" spans="1:2" x14ac:dyDescent="0.3">
      <c r="A4" s="38" t="s">
        <v>119</v>
      </c>
      <c r="B4" s="30">
        <v>153500</v>
      </c>
    </row>
    <row r="5" spans="1:2" x14ac:dyDescent="0.3">
      <c r="A5" s="38" t="s">
        <v>120</v>
      </c>
      <c r="B5" s="30">
        <v>126500</v>
      </c>
    </row>
    <row r="6" spans="1:2" x14ac:dyDescent="0.3">
      <c r="A6" s="38" t="s">
        <v>124</v>
      </c>
      <c r="B6" s="30">
        <v>101500</v>
      </c>
    </row>
    <row r="7" spans="1:2" x14ac:dyDescent="0.3">
      <c r="A7" s="38" t="s">
        <v>121</v>
      </c>
      <c r="B7" s="30">
        <v>5700</v>
      </c>
    </row>
    <row r="8" spans="1:2" x14ac:dyDescent="0.3">
      <c r="A8" s="38" t="s">
        <v>122</v>
      </c>
      <c r="B8" s="30">
        <v>245000</v>
      </c>
    </row>
    <row r="9" spans="1:2" x14ac:dyDescent="0.3">
      <c r="A9" s="38" t="s">
        <v>123</v>
      </c>
      <c r="B9" s="30">
        <v>200000</v>
      </c>
    </row>
    <row r="10" spans="1:2" x14ac:dyDescent="0.3">
      <c r="A10" s="38" t="s">
        <v>248</v>
      </c>
      <c r="B10" s="30">
        <v>1752348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03AE-5919-419E-ADB9-761514256E29}">
  <dimension ref="B1:J102"/>
  <sheetViews>
    <sheetView tabSelected="1" zoomScaleNormal="100" workbookViewId="0">
      <selection activeCell="C13" sqref="C13"/>
    </sheetView>
  </sheetViews>
  <sheetFormatPr defaultRowHeight="14.4" x14ac:dyDescent="0.3"/>
  <cols>
    <col min="1" max="1" width="29.77734375" bestFit="1" customWidth="1"/>
    <col min="2" max="2" width="36.5546875" customWidth="1"/>
    <col min="3" max="3" width="45.109375" customWidth="1"/>
    <col min="4" max="4" width="12.6640625" style="17" customWidth="1"/>
    <col min="5" max="5" width="90.44140625" customWidth="1"/>
    <col min="6" max="6" width="20.88671875" style="4" customWidth="1"/>
    <col min="7" max="7" width="16.33203125" style="4" customWidth="1"/>
    <col min="8" max="8" width="12.109375" hidden="1" customWidth="1"/>
    <col min="9" max="9" width="18.6640625" bestFit="1" customWidth="1"/>
    <col min="10" max="10" width="13.109375" bestFit="1" customWidth="1"/>
  </cols>
  <sheetData>
    <row r="1" spans="2:10" x14ac:dyDescent="0.3">
      <c r="B1" s="1" t="s">
        <v>25</v>
      </c>
      <c r="C1" s="1" t="s">
        <v>26</v>
      </c>
      <c r="D1" s="17" t="s">
        <v>0</v>
      </c>
      <c r="E1" t="s">
        <v>1</v>
      </c>
      <c r="F1" s="2" t="s">
        <v>2</v>
      </c>
      <c r="G1" s="2" t="s">
        <v>107</v>
      </c>
      <c r="H1" s="4" t="s">
        <v>3</v>
      </c>
      <c r="I1" s="4" t="s">
        <v>240</v>
      </c>
      <c r="J1" s="4" t="s">
        <v>4</v>
      </c>
    </row>
    <row r="2" spans="2:10" x14ac:dyDescent="0.3">
      <c r="B2" s="47" t="s">
        <v>117</v>
      </c>
      <c r="C2" s="47" t="s">
        <v>125</v>
      </c>
      <c r="D2" s="48" t="s">
        <v>145</v>
      </c>
      <c r="E2" s="47" t="s">
        <v>27</v>
      </c>
      <c r="F2" s="47">
        <v>4000</v>
      </c>
      <c r="G2" s="47" t="s">
        <v>15</v>
      </c>
      <c r="H2" s="6">
        <v>5</v>
      </c>
      <c r="I2" s="24">
        <f>Budget_items[[#This Row],[€ /  Unit]]*Row!$F$1</f>
        <v>5</v>
      </c>
      <c r="J2" s="6">
        <f>PRODUCT(Budget_items[[#This Row],[Quantity]],Budget_items[[#This Row],[€ /  Unit + Finishing]])</f>
        <v>20000</v>
      </c>
    </row>
    <row r="3" spans="2:10" x14ac:dyDescent="0.3">
      <c r="B3" s="47" t="s">
        <v>117</v>
      </c>
      <c r="C3" s="47" t="s">
        <v>125</v>
      </c>
      <c r="D3" s="48" t="s">
        <v>146</v>
      </c>
      <c r="E3" s="47" t="s">
        <v>16</v>
      </c>
      <c r="F3" s="47">
        <v>3</v>
      </c>
      <c r="G3" s="47" t="s">
        <v>10</v>
      </c>
      <c r="H3" s="6">
        <v>1500</v>
      </c>
      <c r="I3" s="24">
        <f>Budget_items[[#This Row],[€ /  Unit]]*Row!$F$1</f>
        <v>1500</v>
      </c>
      <c r="J3" s="6">
        <f>PRODUCT(Budget_items[[#This Row],[Quantity]],Budget_items[[#This Row],[€ /  Unit + Finishing]])</f>
        <v>4500</v>
      </c>
    </row>
    <row r="4" spans="2:10" x14ac:dyDescent="0.3">
      <c r="B4" s="47" t="s">
        <v>117</v>
      </c>
      <c r="C4" s="47" t="s">
        <v>125</v>
      </c>
      <c r="D4" s="48" t="s">
        <v>147</v>
      </c>
      <c r="E4" s="47" t="s">
        <v>28</v>
      </c>
      <c r="F4" s="47">
        <v>4000</v>
      </c>
      <c r="G4" s="47" t="s">
        <v>15</v>
      </c>
      <c r="H4" s="6">
        <v>4</v>
      </c>
      <c r="I4" s="24">
        <f>Budget_items[[#This Row],[€ /  Unit]]*Row!$F$1</f>
        <v>4</v>
      </c>
      <c r="J4" s="6">
        <f>PRODUCT(Budget_items[[#This Row],[Quantity]],Budget_items[[#This Row],[€ /  Unit + Finishing]])</f>
        <v>16000</v>
      </c>
    </row>
    <row r="5" spans="2:10" x14ac:dyDescent="0.3">
      <c r="B5" s="47" t="s">
        <v>117</v>
      </c>
      <c r="C5" s="47" t="s">
        <v>125</v>
      </c>
      <c r="D5" s="48" t="s">
        <v>148</v>
      </c>
      <c r="E5" s="47" t="s">
        <v>29</v>
      </c>
      <c r="F5" s="47">
        <v>0</v>
      </c>
      <c r="G5" s="47" t="s">
        <v>9</v>
      </c>
      <c r="H5" s="6">
        <v>1500</v>
      </c>
      <c r="I5" s="24">
        <f>Budget_items[[#This Row],[€ /  Unit]]*Row!$F$1</f>
        <v>1500</v>
      </c>
      <c r="J5" s="6">
        <f>PRODUCT(Budget_items[[#This Row],[Quantity]],Budget_items[[#This Row],[€ /  Unit + Finishing]])</f>
        <v>0</v>
      </c>
    </row>
    <row r="6" spans="2:10" x14ac:dyDescent="0.3">
      <c r="B6" s="47" t="s">
        <v>117</v>
      </c>
      <c r="C6" s="47" t="s">
        <v>125</v>
      </c>
      <c r="D6" s="48" t="s">
        <v>149</v>
      </c>
      <c r="E6" s="47" t="s">
        <v>30</v>
      </c>
      <c r="F6" s="47">
        <v>0</v>
      </c>
      <c r="G6" s="47" t="s">
        <v>5</v>
      </c>
      <c r="H6" s="6">
        <v>2000</v>
      </c>
      <c r="I6" s="24">
        <f>Budget_items[[#This Row],[€ /  Unit]]*Row!$F$1</f>
        <v>2000</v>
      </c>
      <c r="J6" s="6">
        <f>PRODUCT(Budget_items[[#This Row],[Quantity]],Budget_items[[#This Row],[€ /  Unit + Finishing]])</f>
        <v>0</v>
      </c>
    </row>
    <row r="7" spans="2:10" x14ac:dyDescent="0.3">
      <c r="B7" s="47" t="s">
        <v>117</v>
      </c>
      <c r="C7" s="47" t="s">
        <v>125</v>
      </c>
      <c r="D7" s="48" t="s">
        <v>150</v>
      </c>
      <c r="E7" s="47" t="s">
        <v>31</v>
      </c>
      <c r="F7" s="47">
        <v>0</v>
      </c>
      <c r="G7" s="47" t="s">
        <v>5</v>
      </c>
      <c r="H7" s="6">
        <v>0</v>
      </c>
      <c r="I7" s="24">
        <f>Budget_items[[#This Row],[€ /  Unit]]*Row!$F$1</f>
        <v>0</v>
      </c>
      <c r="J7" s="6">
        <f>PRODUCT(Budget_items[[#This Row],[Quantity]],Budget_items[[#This Row],[€ /  Unit + Finishing]])</f>
        <v>0</v>
      </c>
    </row>
    <row r="8" spans="2:10" x14ac:dyDescent="0.3">
      <c r="B8" s="47" t="s">
        <v>117</v>
      </c>
      <c r="C8" s="47" t="s">
        <v>125</v>
      </c>
      <c r="D8" s="48" t="s">
        <v>151</v>
      </c>
      <c r="E8" s="47" t="s">
        <v>32</v>
      </c>
      <c r="F8" s="47">
        <v>0</v>
      </c>
      <c r="G8" s="47" t="s">
        <v>5</v>
      </c>
      <c r="H8" s="6">
        <v>2500</v>
      </c>
      <c r="I8" s="24">
        <f>Budget_items[[#This Row],[€ /  Unit]]*Row!$F$1</f>
        <v>2500</v>
      </c>
      <c r="J8" s="6">
        <f>PRODUCT(Budget_items[[#This Row],[Quantity]],Budget_items[[#This Row],[€ /  Unit + Finishing]])</f>
        <v>0</v>
      </c>
    </row>
    <row r="9" spans="2:10" x14ac:dyDescent="0.3">
      <c r="B9" s="47" t="s">
        <v>117</v>
      </c>
      <c r="C9" s="47" t="s">
        <v>126</v>
      </c>
      <c r="D9" s="48" t="s">
        <v>152</v>
      </c>
      <c r="E9" s="47" t="s">
        <v>17</v>
      </c>
      <c r="F9" s="47">
        <v>0</v>
      </c>
      <c r="G9" s="47" t="s">
        <v>15</v>
      </c>
      <c r="H9" s="6">
        <v>5</v>
      </c>
      <c r="I9" s="24">
        <f>Budget_items[[#This Row],[€ /  Unit]]*Row!$F$1</f>
        <v>5</v>
      </c>
      <c r="J9" s="6">
        <f>PRODUCT(Budget_items[[#This Row],[Quantity]],Budget_items[[#This Row],[€ /  Unit + Finishing]])</f>
        <v>0</v>
      </c>
    </row>
    <row r="10" spans="2:10" x14ac:dyDescent="0.3">
      <c r="B10" s="47" t="s">
        <v>117</v>
      </c>
      <c r="C10" s="47" t="s">
        <v>126</v>
      </c>
      <c r="D10" s="48" t="s">
        <v>153</v>
      </c>
      <c r="E10" s="47" t="s">
        <v>18</v>
      </c>
      <c r="F10" s="47">
        <v>0</v>
      </c>
      <c r="G10" s="47" t="s">
        <v>15</v>
      </c>
      <c r="H10" s="6">
        <v>25</v>
      </c>
      <c r="I10" s="24">
        <f>Budget_items[[#This Row],[€ /  Unit]]*Row!$F$1</f>
        <v>25</v>
      </c>
      <c r="J10" s="6">
        <f>PRODUCT(Budget_items[[#This Row],[Quantity]],Budget_items[[#This Row],[€ /  Unit + Finishing]])</f>
        <v>0</v>
      </c>
    </row>
    <row r="11" spans="2:10" x14ac:dyDescent="0.3">
      <c r="B11" s="47" t="s">
        <v>117</v>
      </c>
      <c r="C11" s="47" t="s">
        <v>126</v>
      </c>
      <c r="D11" s="48" t="s">
        <v>154</v>
      </c>
      <c r="E11" s="47" t="s">
        <v>33</v>
      </c>
      <c r="F11" s="47">
        <v>0</v>
      </c>
      <c r="G11" s="47" t="s">
        <v>15</v>
      </c>
      <c r="H11" s="6">
        <v>10</v>
      </c>
      <c r="I11" s="24">
        <f>Budget_items[[#This Row],[€ /  Unit]]*Row!$F$1</f>
        <v>10</v>
      </c>
      <c r="J11" s="6">
        <f>PRODUCT(Budget_items[[#This Row],[Quantity]],Budget_items[[#This Row],[€ /  Unit + Finishing]])</f>
        <v>0</v>
      </c>
    </row>
    <row r="12" spans="2:10" x14ac:dyDescent="0.3">
      <c r="B12" s="47" t="s">
        <v>117</v>
      </c>
      <c r="C12" s="47" t="s">
        <v>126</v>
      </c>
      <c r="D12" s="48" t="s">
        <v>155</v>
      </c>
      <c r="E12" s="47" t="s">
        <v>34</v>
      </c>
      <c r="F12" s="47">
        <v>0</v>
      </c>
      <c r="G12" s="47" t="s">
        <v>5</v>
      </c>
      <c r="H12" s="6">
        <v>3500</v>
      </c>
      <c r="I12" s="24">
        <f>Budget_items[[#This Row],[€ /  Unit]]*Row!$F$1</f>
        <v>3500</v>
      </c>
      <c r="J12" s="6">
        <f>PRODUCT(Budget_items[[#This Row],[Quantity]],Budget_items[[#This Row],[€ /  Unit + Finishing]])</f>
        <v>0</v>
      </c>
    </row>
    <row r="13" spans="2:10" x14ac:dyDescent="0.3">
      <c r="B13" s="47" t="s">
        <v>117</v>
      </c>
      <c r="C13" s="47" t="s">
        <v>127</v>
      </c>
      <c r="D13" s="48" t="s">
        <v>156</v>
      </c>
      <c r="E13" s="47" t="s">
        <v>35</v>
      </c>
      <c r="F13" s="47">
        <v>500</v>
      </c>
      <c r="G13" s="47" t="s">
        <v>15</v>
      </c>
      <c r="H13" s="6">
        <v>122</v>
      </c>
      <c r="I13" s="24">
        <f>Budget_items[[#This Row],[€ /  Unit]]*Row!$F$1</f>
        <v>122</v>
      </c>
      <c r="J13" s="6">
        <f>PRODUCT(Budget_items[[#This Row],[Quantity]],Budget_items[[#This Row],[€ /  Unit + Finishing]])</f>
        <v>61000</v>
      </c>
    </row>
    <row r="14" spans="2:10" x14ac:dyDescent="0.3">
      <c r="B14" s="47" t="s">
        <v>117</v>
      </c>
      <c r="C14" s="47" t="s">
        <v>127</v>
      </c>
      <c r="D14" s="48" t="s">
        <v>157</v>
      </c>
      <c r="E14" s="47" t="s">
        <v>36</v>
      </c>
      <c r="F14" s="47">
        <v>225</v>
      </c>
      <c r="G14" s="47" t="s">
        <v>15</v>
      </c>
      <c r="H14" s="6">
        <v>225</v>
      </c>
      <c r="I14" s="24">
        <f>Budget_items[[#This Row],[€ /  Unit]]*Row!$F$1</f>
        <v>225</v>
      </c>
      <c r="J14" s="6">
        <f>PRODUCT(Budget_items[[#This Row],[Quantity]],Budget_items[[#This Row],[€ /  Unit + Finishing]])</f>
        <v>50625</v>
      </c>
    </row>
    <row r="15" spans="2:10" x14ac:dyDescent="0.3">
      <c r="B15" s="47" t="s">
        <v>117</v>
      </c>
      <c r="C15" s="47" t="s">
        <v>127</v>
      </c>
      <c r="D15" s="48" t="s">
        <v>158</v>
      </c>
      <c r="E15" s="47" t="s">
        <v>19</v>
      </c>
      <c r="F15" s="47">
        <v>0</v>
      </c>
      <c r="G15" s="47" t="s">
        <v>15</v>
      </c>
      <c r="H15" s="6">
        <v>250</v>
      </c>
      <c r="I15" s="24">
        <f>Budget_items[[#This Row],[€ /  Unit]]*Row!$F$1</f>
        <v>250</v>
      </c>
      <c r="J15" s="6">
        <f>PRODUCT(Budget_items[[#This Row],[Quantity]],Budget_items[[#This Row],[€ /  Unit + Finishing]])</f>
        <v>0</v>
      </c>
    </row>
    <row r="16" spans="2:10" x14ac:dyDescent="0.3">
      <c r="B16" s="47" t="s">
        <v>117</v>
      </c>
      <c r="C16" s="47" t="s">
        <v>127</v>
      </c>
      <c r="D16" s="48" t="s">
        <v>159</v>
      </c>
      <c r="E16" s="47" t="s">
        <v>37</v>
      </c>
      <c r="F16" s="47">
        <v>15</v>
      </c>
      <c r="G16" s="47" t="s">
        <v>7</v>
      </c>
      <c r="H16" s="6">
        <v>1500</v>
      </c>
      <c r="I16" s="24">
        <f>Budget_items[[#This Row],[€ /  Unit]]*Row!$F$1</f>
        <v>1500</v>
      </c>
      <c r="J16" s="6">
        <f>PRODUCT(Budget_items[[#This Row],[Quantity]],Budget_items[[#This Row],[€ /  Unit + Finishing]])</f>
        <v>22500</v>
      </c>
    </row>
    <row r="17" spans="2:10" x14ac:dyDescent="0.3">
      <c r="B17" s="47" t="s">
        <v>117</v>
      </c>
      <c r="C17" s="47" t="s">
        <v>127</v>
      </c>
      <c r="D17" s="48" t="s">
        <v>160</v>
      </c>
      <c r="E17" s="47" t="s">
        <v>38</v>
      </c>
      <c r="F17" s="47">
        <v>10</v>
      </c>
      <c r="G17" s="47" t="s">
        <v>7</v>
      </c>
      <c r="H17" s="6">
        <v>650</v>
      </c>
      <c r="I17" s="24">
        <f>Budget_items[[#This Row],[€ /  Unit]]*Row!$F$1</f>
        <v>650</v>
      </c>
      <c r="J17" s="6">
        <f>PRODUCT(Budget_items[[#This Row],[Quantity]],Budget_items[[#This Row],[€ /  Unit + Finishing]])</f>
        <v>6500</v>
      </c>
    </row>
    <row r="18" spans="2:10" x14ac:dyDescent="0.3">
      <c r="B18" s="47" t="s">
        <v>117</v>
      </c>
      <c r="C18" s="47" t="s">
        <v>127</v>
      </c>
      <c r="D18" s="48" t="s">
        <v>161</v>
      </c>
      <c r="E18" s="47" t="s">
        <v>39</v>
      </c>
      <c r="F18" s="47">
        <v>150</v>
      </c>
      <c r="G18" s="47" t="s">
        <v>6</v>
      </c>
      <c r="H18" s="6">
        <v>15</v>
      </c>
      <c r="I18" s="24">
        <f>Budget_items[[#This Row],[€ /  Unit]]*Row!$F$1</f>
        <v>15</v>
      </c>
      <c r="J18" s="6">
        <f>PRODUCT(Budget_items[[#This Row],[Quantity]],Budget_items[[#This Row],[€ /  Unit + Finishing]])</f>
        <v>2250</v>
      </c>
    </row>
    <row r="19" spans="2:10" x14ac:dyDescent="0.3">
      <c r="B19" s="47" t="s">
        <v>117</v>
      </c>
      <c r="C19" s="47" t="s">
        <v>127</v>
      </c>
      <c r="D19" s="48" t="s">
        <v>162</v>
      </c>
      <c r="E19" s="47" t="s">
        <v>40</v>
      </c>
      <c r="F19" s="47">
        <v>250</v>
      </c>
      <c r="G19" s="47" t="s">
        <v>6</v>
      </c>
      <c r="H19" s="6">
        <v>35</v>
      </c>
      <c r="I19" s="24">
        <f>Budget_items[[#This Row],[€ /  Unit]]*Row!$F$1</f>
        <v>35</v>
      </c>
      <c r="J19" s="6">
        <f>PRODUCT(Budget_items[[#This Row],[Quantity]],Budget_items[[#This Row],[€ /  Unit + Finishing]])</f>
        <v>8750</v>
      </c>
    </row>
    <row r="20" spans="2:10" x14ac:dyDescent="0.3">
      <c r="B20" s="47" t="s">
        <v>117</v>
      </c>
      <c r="C20" s="47" t="s">
        <v>143</v>
      </c>
      <c r="D20" s="48" t="s">
        <v>163</v>
      </c>
      <c r="E20" s="47" t="s">
        <v>41</v>
      </c>
      <c r="F20" s="47">
        <v>1000</v>
      </c>
      <c r="G20" s="47" t="s">
        <v>15</v>
      </c>
      <c r="H20" s="6">
        <v>20</v>
      </c>
      <c r="I20" s="24">
        <f>Budget_items[[#This Row],[€ /  Unit]]*Row!$F$1</f>
        <v>20</v>
      </c>
      <c r="J20" s="6">
        <f>PRODUCT(Budget_items[[#This Row],[Quantity]],Budget_items[[#This Row],[€ /  Unit + Finishing]])</f>
        <v>20000</v>
      </c>
    </row>
    <row r="21" spans="2:10" x14ac:dyDescent="0.3">
      <c r="B21" s="47" t="s">
        <v>117</v>
      </c>
      <c r="C21" s="47" t="s">
        <v>143</v>
      </c>
      <c r="D21" s="48" t="s">
        <v>164</v>
      </c>
      <c r="E21" s="47" t="s">
        <v>42</v>
      </c>
      <c r="F21" s="47">
        <v>0</v>
      </c>
      <c r="G21" s="47" t="s">
        <v>15</v>
      </c>
      <c r="H21" s="6">
        <v>60</v>
      </c>
      <c r="I21" s="24">
        <f>Budget_items[[#This Row],[€ /  Unit]]*Row!$F$1</f>
        <v>60</v>
      </c>
      <c r="J21" s="6">
        <f>PRODUCT(Budget_items[[#This Row],[Quantity]],Budget_items[[#This Row],[€ /  Unit + Finishing]])</f>
        <v>0</v>
      </c>
    </row>
    <row r="22" spans="2:10" x14ac:dyDescent="0.3">
      <c r="B22" s="47" t="s">
        <v>117</v>
      </c>
      <c r="C22" s="47" t="s">
        <v>143</v>
      </c>
      <c r="D22" s="48" t="s">
        <v>165</v>
      </c>
      <c r="E22" s="47" t="s">
        <v>43</v>
      </c>
      <c r="F22" s="47">
        <v>0</v>
      </c>
      <c r="G22" s="47" t="s">
        <v>15</v>
      </c>
      <c r="H22" s="6">
        <v>250</v>
      </c>
      <c r="I22" s="24">
        <f>Budget_items[[#This Row],[€ /  Unit]]*Row!$F$1</f>
        <v>250</v>
      </c>
      <c r="J22" s="6">
        <f>PRODUCT(Budget_items[[#This Row],[Quantity]],Budget_items[[#This Row],[€ /  Unit + Finishing]])</f>
        <v>0</v>
      </c>
    </row>
    <row r="23" spans="2:10" x14ac:dyDescent="0.3">
      <c r="B23" s="47" t="s">
        <v>117</v>
      </c>
      <c r="C23" s="47" t="s">
        <v>128</v>
      </c>
      <c r="D23" s="48" t="s">
        <v>166</v>
      </c>
      <c r="E23" s="47" t="s">
        <v>44</v>
      </c>
      <c r="F23" s="47">
        <v>4000</v>
      </c>
      <c r="G23" s="47" t="s">
        <v>15</v>
      </c>
      <c r="H23" s="6">
        <v>2</v>
      </c>
      <c r="I23" s="24">
        <f>Budget_items[[#This Row],[€ /  Unit]]*Row!$F$1</f>
        <v>2</v>
      </c>
      <c r="J23" s="6">
        <f>PRODUCT(Budget_items[[#This Row],[Quantity]],Budget_items[[#This Row],[€ /  Unit + Finishing]])</f>
        <v>8000</v>
      </c>
    </row>
    <row r="24" spans="2:10" x14ac:dyDescent="0.3">
      <c r="B24" s="47" t="s">
        <v>117</v>
      </c>
      <c r="C24" s="47" t="s">
        <v>128</v>
      </c>
      <c r="D24" s="48" t="s">
        <v>167</v>
      </c>
      <c r="E24" s="47" t="s">
        <v>20</v>
      </c>
      <c r="F24" s="47">
        <v>0</v>
      </c>
      <c r="G24" s="47" t="s">
        <v>15</v>
      </c>
      <c r="H24" s="6">
        <v>8</v>
      </c>
      <c r="I24" s="24">
        <f>Budget_items[[#This Row],[€ /  Unit]]*Row!$F$1</f>
        <v>8</v>
      </c>
      <c r="J24" s="6">
        <f>PRODUCT(Budget_items[[#This Row],[Quantity]],Budget_items[[#This Row],[€ /  Unit + Finishing]])</f>
        <v>0</v>
      </c>
    </row>
    <row r="25" spans="2:10" x14ac:dyDescent="0.3">
      <c r="B25" s="47" t="s">
        <v>117</v>
      </c>
      <c r="C25" s="47" t="s">
        <v>128</v>
      </c>
      <c r="D25" s="48" t="s">
        <v>168</v>
      </c>
      <c r="E25" s="47" t="s">
        <v>21</v>
      </c>
      <c r="F25" s="47">
        <v>3000</v>
      </c>
      <c r="G25" s="47" t="s">
        <v>15</v>
      </c>
      <c r="H25" s="6">
        <v>30</v>
      </c>
      <c r="I25" s="24">
        <f>Budget_items[[#This Row],[€ /  Unit]]*Row!$F$1</f>
        <v>30</v>
      </c>
      <c r="J25" s="6">
        <f>PRODUCT(Budget_items[[#This Row],[Quantity]],Budget_items[[#This Row],[€ /  Unit + Finishing]])</f>
        <v>90000</v>
      </c>
    </row>
    <row r="26" spans="2:10" x14ac:dyDescent="0.3">
      <c r="B26" s="47" t="s">
        <v>117</v>
      </c>
      <c r="C26" s="47" t="s">
        <v>128</v>
      </c>
      <c r="D26" s="48" t="s">
        <v>169</v>
      </c>
      <c r="E26" s="47" t="s">
        <v>45</v>
      </c>
      <c r="F26" s="47">
        <v>0</v>
      </c>
      <c r="G26" s="47" t="s">
        <v>15</v>
      </c>
      <c r="H26" s="6">
        <v>30</v>
      </c>
      <c r="I26" s="24">
        <f>Budget_items[[#This Row],[€ /  Unit]]*Row!$F$1</f>
        <v>30</v>
      </c>
      <c r="J26" s="6">
        <f>PRODUCT(Budget_items[[#This Row],[Quantity]],Budget_items[[#This Row],[€ /  Unit + Finishing]])</f>
        <v>0</v>
      </c>
    </row>
    <row r="27" spans="2:10" x14ac:dyDescent="0.3">
      <c r="B27" s="47" t="s">
        <v>117</v>
      </c>
      <c r="C27" s="47" t="s">
        <v>128</v>
      </c>
      <c r="D27" s="48" t="s">
        <v>170</v>
      </c>
      <c r="E27" s="47" t="s">
        <v>46</v>
      </c>
      <c r="F27" s="47">
        <v>1000</v>
      </c>
      <c r="G27" s="47" t="s">
        <v>15</v>
      </c>
      <c r="H27" s="6">
        <v>45</v>
      </c>
      <c r="I27" s="24">
        <f>Budget_items[[#This Row],[€ /  Unit]]*Row!$F$1</f>
        <v>45</v>
      </c>
      <c r="J27" s="6">
        <f>PRODUCT(Budget_items[[#This Row],[Quantity]],Budget_items[[#This Row],[€ /  Unit + Finishing]])</f>
        <v>45000</v>
      </c>
    </row>
    <row r="28" spans="2:10" x14ac:dyDescent="0.3">
      <c r="B28" s="47" t="s">
        <v>117</v>
      </c>
      <c r="C28" s="47" t="s">
        <v>128</v>
      </c>
      <c r="D28" s="48" t="s">
        <v>171</v>
      </c>
      <c r="E28" s="47" t="s">
        <v>47</v>
      </c>
      <c r="F28" s="47">
        <v>0</v>
      </c>
      <c r="G28" s="47" t="s">
        <v>15</v>
      </c>
      <c r="H28" s="6">
        <v>75</v>
      </c>
      <c r="I28" s="24">
        <f>Budget_items[[#This Row],[€ /  Unit]]*Row!$F$1</f>
        <v>75</v>
      </c>
      <c r="J28" s="6">
        <f>PRODUCT(Budget_items[[#This Row],[Quantity]],Budget_items[[#This Row],[€ /  Unit + Finishing]])</f>
        <v>0</v>
      </c>
    </row>
    <row r="29" spans="2:10" x14ac:dyDescent="0.3">
      <c r="B29" s="47" t="s">
        <v>117</v>
      </c>
      <c r="C29" s="47" t="s">
        <v>128</v>
      </c>
      <c r="D29" s="48" t="s">
        <v>172</v>
      </c>
      <c r="E29" s="47" t="s">
        <v>48</v>
      </c>
      <c r="F29" s="47">
        <v>150</v>
      </c>
      <c r="G29" s="47" t="s">
        <v>6</v>
      </c>
      <c r="H29" s="6">
        <v>20</v>
      </c>
      <c r="I29" s="24">
        <f>Budget_items[[#This Row],[€ /  Unit]]*Row!$F$1</f>
        <v>20</v>
      </c>
      <c r="J29" s="6">
        <f>PRODUCT(Budget_items[[#This Row],[Quantity]],Budget_items[[#This Row],[€ /  Unit + Finishing]])</f>
        <v>3000</v>
      </c>
    </row>
    <row r="30" spans="2:10" x14ac:dyDescent="0.3">
      <c r="B30" s="47" t="s">
        <v>117</v>
      </c>
      <c r="C30" s="47" t="s">
        <v>128</v>
      </c>
      <c r="D30" s="48" t="s">
        <v>173</v>
      </c>
      <c r="E30" s="47" t="s">
        <v>49</v>
      </c>
      <c r="F30" s="47">
        <v>0</v>
      </c>
      <c r="G30" s="47" t="s">
        <v>15</v>
      </c>
      <c r="H30" s="6">
        <v>125</v>
      </c>
      <c r="I30" s="24">
        <f>Budget_items[[#This Row],[€ /  Unit]]*Row!$F$1</f>
        <v>125</v>
      </c>
      <c r="J30" s="6">
        <f>PRODUCT(Budget_items[[#This Row],[Quantity]],Budget_items[[#This Row],[€ /  Unit + Finishing]])</f>
        <v>0</v>
      </c>
    </row>
    <row r="31" spans="2:10" x14ac:dyDescent="0.3">
      <c r="B31" s="47" t="s">
        <v>117</v>
      </c>
      <c r="C31" s="47" t="s">
        <v>128</v>
      </c>
      <c r="D31" s="48" t="s">
        <v>174</v>
      </c>
      <c r="E31" s="47" t="s">
        <v>50</v>
      </c>
      <c r="F31" s="47">
        <v>0</v>
      </c>
      <c r="G31" s="47" t="s">
        <v>15</v>
      </c>
      <c r="H31" s="6">
        <v>4</v>
      </c>
      <c r="I31" s="24">
        <f>Budget_items[[#This Row],[€ /  Unit]]*Row!$F$1</f>
        <v>4</v>
      </c>
      <c r="J31" s="6">
        <f>PRODUCT(Budget_items[[#This Row],[Quantity]],Budget_items[[#This Row],[€ /  Unit + Finishing]])</f>
        <v>0</v>
      </c>
    </row>
    <row r="32" spans="2:10" x14ac:dyDescent="0.3">
      <c r="B32" s="47" t="s">
        <v>117</v>
      </c>
      <c r="C32" s="47" t="s">
        <v>144</v>
      </c>
      <c r="D32" s="48" t="s">
        <v>175</v>
      </c>
      <c r="E32" s="47" t="s">
        <v>22</v>
      </c>
      <c r="F32" s="47">
        <v>300</v>
      </c>
      <c r="G32" s="47" t="s">
        <v>15</v>
      </c>
      <c r="H32" s="6">
        <v>14</v>
      </c>
      <c r="I32" s="24">
        <f>Budget_items[[#This Row],[€ /  Unit]]*Row!$F$1</f>
        <v>14</v>
      </c>
      <c r="J32" s="6">
        <f>PRODUCT(Budget_items[[#This Row],[Quantity]],Budget_items[[#This Row],[€ /  Unit + Finishing]])</f>
        <v>4200</v>
      </c>
    </row>
    <row r="33" spans="2:10" x14ac:dyDescent="0.3">
      <c r="B33" s="47" t="s">
        <v>117</v>
      </c>
      <c r="C33" s="47" t="s">
        <v>144</v>
      </c>
      <c r="D33" s="48" t="s">
        <v>176</v>
      </c>
      <c r="E33" s="47" t="s">
        <v>23</v>
      </c>
      <c r="F33" s="47">
        <v>200</v>
      </c>
      <c r="G33" s="47" t="s">
        <v>15</v>
      </c>
      <c r="H33" s="6">
        <v>19</v>
      </c>
      <c r="I33" s="24">
        <f>Budget_items[[#This Row],[€ /  Unit]]*Row!$F$1</f>
        <v>19</v>
      </c>
      <c r="J33" s="6">
        <f>PRODUCT(Budget_items[[#This Row],[Quantity]],Budget_items[[#This Row],[€ /  Unit + Finishing]])</f>
        <v>3800</v>
      </c>
    </row>
    <row r="34" spans="2:10" x14ac:dyDescent="0.3">
      <c r="B34" s="47" t="s">
        <v>117</v>
      </c>
      <c r="C34" s="47" t="s">
        <v>144</v>
      </c>
      <c r="D34" s="48" t="s">
        <v>177</v>
      </c>
      <c r="E34" s="47" t="s">
        <v>24</v>
      </c>
      <c r="F34" s="47">
        <v>10</v>
      </c>
      <c r="G34" s="47" t="s">
        <v>7</v>
      </c>
      <c r="H34" s="6">
        <v>300</v>
      </c>
      <c r="I34" s="24">
        <f>Budget_items[[#This Row],[€ /  Unit]]*Row!$F$1</f>
        <v>300</v>
      </c>
      <c r="J34" s="6">
        <f>PRODUCT(Budget_items[[#This Row],[Quantity]],Budget_items[[#This Row],[€ /  Unit + Finishing]])</f>
        <v>3000</v>
      </c>
    </row>
    <row r="35" spans="2:10" x14ac:dyDescent="0.3">
      <c r="B35" s="47" t="s">
        <v>117</v>
      </c>
      <c r="C35" s="47" t="s">
        <v>144</v>
      </c>
      <c r="D35" s="48" t="s">
        <v>178</v>
      </c>
      <c r="E35" s="47" t="s">
        <v>51</v>
      </c>
      <c r="F35" s="47">
        <v>150</v>
      </c>
      <c r="G35" s="47" t="s">
        <v>6</v>
      </c>
      <c r="H35" s="6">
        <v>8</v>
      </c>
      <c r="I35" s="24">
        <f>Budget_items[[#This Row],[€ /  Unit]]*Row!$F$1</f>
        <v>8</v>
      </c>
      <c r="J35" s="6">
        <f>PRODUCT(Budget_items[[#This Row],[Quantity]],Budget_items[[#This Row],[€ /  Unit + Finishing]])</f>
        <v>1200</v>
      </c>
    </row>
    <row r="36" spans="2:10" x14ac:dyDescent="0.3">
      <c r="B36" s="47" t="s">
        <v>117</v>
      </c>
      <c r="C36" s="47" t="s">
        <v>144</v>
      </c>
      <c r="D36" s="48" t="s">
        <v>179</v>
      </c>
      <c r="E36" s="47" t="s">
        <v>52</v>
      </c>
      <c r="F36" s="47">
        <v>1</v>
      </c>
      <c r="G36" s="47" t="s">
        <v>10</v>
      </c>
      <c r="H36" s="6">
        <v>500</v>
      </c>
      <c r="I36" s="24">
        <f>Budget_items[[#This Row],[€ /  Unit]]*Row!$F$1</f>
        <v>500</v>
      </c>
      <c r="J36" s="6">
        <f>PRODUCT(Budget_items[[#This Row],[Quantity]],Budget_items[[#This Row],[€ /  Unit + Finishing]])</f>
        <v>500</v>
      </c>
    </row>
    <row r="37" spans="2:10" x14ac:dyDescent="0.3">
      <c r="B37" s="47" t="s">
        <v>118</v>
      </c>
      <c r="C37" s="47" t="s">
        <v>129</v>
      </c>
      <c r="D37" s="48" t="s">
        <v>180</v>
      </c>
      <c r="E37" s="47" t="s">
        <v>53</v>
      </c>
      <c r="F37" s="47">
        <v>4000</v>
      </c>
      <c r="G37" s="47" t="s">
        <v>15</v>
      </c>
      <c r="H37" s="6">
        <v>30</v>
      </c>
      <c r="I37" s="24">
        <f>Budget_items[[#This Row],[€ /  Unit]]*Row!$F$1</f>
        <v>30</v>
      </c>
      <c r="J37" s="6">
        <f>PRODUCT(Budget_items[[#This Row],[Quantity]],Budget_items[[#This Row],[€ /  Unit + Finishing]])</f>
        <v>120000</v>
      </c>
    </row>
    <row r="38" spans="2:10" x14ac:dyDescent="0.3">
      <c r="B38" s="47" t="s">
        <v>118</v>
      </c>
      <c r="C38" s="47" t="s">
        <v>129</v>
      </c>
      <c r="D38" s="48" t="s">
        <v>181</v>
      </c>
      <c r="E38" s="47" t="s">
        <v>54</v>
      </c>
      <c r="F38" s="47">
        <v>2</v>
      </c>
      <c r="G38" s="47" t="s">
        <v>7</v>
      </c>
      <c r="H38" s="6">
        <v>5000</v>
      </c>
      <c r="I38" s="24">
        <f>Budget_items[[#This Row],[€ /  Unit]]*Row!$F$1</f>
        <v>5000</v>
      </c>
      <c r="J38" s="6">
        <f>PRODUCT(Budget_items[[#This Row],[Quantity]],Budget_items[[#This Row],[€ /  Unit + Finishing]])</f>
        <v>10000</v>
      </c>
    </row>
    <row r="39" spans="2:10" x14ac:dyDescent="0.3">
      <c r="B39" s="47" t="s">
        <v>118</v>
      </c>
      <c r="C39" s="47" t="s">
        <v>129</v>
      </c>
      <c r="D39" s="48" t="s">
        <v>182</v>
      </c>
      <c r="E39" s="47" t="s">
        <v>55</v>
      </c>
      <c r="F39" s="47">
        <v>6</v>
      </c>
      <c r="G39" s="47" t="s">
        <v>7</v>
      </c>
      <c r="H39" s="6">
        <v>1500</v>
      </c>
      <c r="I39" s="24">
        <f>Budget_items[[#This Row],[€ /  Unit]]*Row!$F$1</f>
        <v>1500</v>
      </c>
      <c r="J39" s="6">
        <f>PRODUCT(Budget_items[[#This Row],[Quantity]],Budget_items[[#This Row],[€ /  Unit + Finishing]])</f>
        <v>9000</v>
      </c>
    </row>
    <row r="40" spans="2:10" x14ac:dyDescent="0.3">
      <c r="B40" s="47" t="s">
        <v>118</v>
      </c>
      <c r="C40" s="47" t="s">
        <v>130</v>
      </c>
      <c r="D40" s="48" t="s">
        <v>183</v>
      </c>
      <c r="E40" s="47" t="s">
        <v>56</v>
      </c>
      <c r="F40" s="47">
        <v>4000</v>
      </c>
      <c r="G40" s="47" t="s">
        <v>15</v>
      </c>
      <c r="H40" s="6">
        <v>45</v>
      </c>
      <c r="I40" s="24">
        <f>Budget_items[[#This Row],[€ /  Unit]]*Row!$F$1</f>
        <v>45</v>
      </c>
      <c r="J40" s="6">
        <f>PRODUCT(Budget_items[[#This Row],[Quantity]],Budget_items[[#This Row],[€ /  Unit + Finishing]])</f>
        <v>180000</v>
      </c>
    </row>
    <row r="41" spans="2:10" x14ac:dyDescent="0.3">
      <c r="B41" s="47" t="s">
        <v>118</v>
      </c>
      <c r="C41" s="47" t="s">
        <v>130</v>
      </c>
      <c r="D41" s="48" t="s">
        <v>184</v>
      </c>
      <c r="E41" s="47" t="s">
        <v>57</v>
      </c>
      <c r="F41" s="47">
        <v>0</v>
      </c>
      <c r="G41" s="47" t="s">
        <v>15</v>
      </c>
      <c r="H41" s="6">
        <v>50</v>
      </c>
      <c r="I41" s="24">
        <f>Budget_items[[#This Row],[€ /  Unit]]*Row!$F$1</f>
        <v>50</v>
      </c>
      <c r="J41" s="6">
        <f>PRODUCT(Budget_items[[#This Row],[Quantity]],Budget_items[[#This Row],[€ /  Unit + Finishing]])</f>
        <v>0</v>
      </c>
    </row>
    <row r="42" spans="2:10" x14ac:dyDescent="0.3">
      <c r="B42" s="47" t="s">
        <v>118</v>
      </c>
      <c r="C42" s="47" t="s">
        <v>130</v>
      </c>
      <c r="D42" s="48" t="s">
        <v>185</v>
      </c>
      <c r="E42" s="47" t="s">
        <v>58</v>
      </c>
      <c r="F42" s="47">
        <v>3</v>
      </c>
      <c r="G42" s="47" t="s">
        <v>7</v>
      </c>
      <c r="H42" s="6">
        <v>2500</v>
      </c>
      <c r="I42" s="24">
        <f>Budget_items[[#This Row],[€ /  Unit]]*Row!$F$1</f>
        <v>2500</v>
      </c>
      <c r="J42" s="6">
        <f>PRODUCT(Budget_items[[#This Row],[Quantity]],Budget_items[[#This Row],[€ /  Unit + Finishing]])</f>
        <v>7500</v>
      </c>
    </row>
    <row r="43" spans="2:10" x14ac:dyDescent="0.3">
      <c r="B43" s="47" t="s">
        <v>118</v>
      </c>
      <c r="C43" s="47" t="s">
        <v>130</v>
      </c>
      <c r="D43" s="48" t="s">
        <v>186</v>
      </c>
      <c r="E43" s="47" t="s">
        <v>59</v>
      </c>
      <c r="F43" s="47">
        <v>1</v>
      </c>
      <c r="G43" s="47" t="s">
        <v>7</v>
      </c>
      <c r="H43" s="6">
        <v>750</v>
      </c>
      <c r="I43" s="24">
        <f>Budget_items[[#This Row],[€ /  Unit]]*Row!$F$1</f>
        <v>750</v>
      </c>
      <c r="J43" s="6">
        <f>PRODUCT(Budget_items[[#This Row],[Quantity]],Budget_items[[#This Row],[€ /  Unit + Finishing]])</f>
        <v>750</v>
      </c>
    </row>
    <row r="44" spans="2:10" x14ac:dyDescent="0.3">
      <c r="B44" s="47" t="s">
        <v>118</v>
      </c>
      <c r="C44" s="47" t="s">
        <v>130</v>
      </c>
      <c r="D44" s="48" t="s">
        <v>187</v>
      </c>
      <c r="E44" s="47" t="s">
        <v>60</v>
      </c>
      <c r="F44" s="47">
        <v>5</v>
      </c>
      <c r="G44" s="47" t="s">
        <v>5</v>
      </c>
      <c r="H44" s="6">
        <v>7500</v>
      </c>
      <c r="I44" s="24">
        <f>Budget_items[[#This Row],[€ /  Unit]]*Row!$F$1</f>
        <v>7500</v>
      </c>
      <c r="J44" s="6">
        <f>PRODUCT(Budget_items[[#This Row],[Quantity]],Budget_items[[#This Row],[€ /  Unit + Finishing]])</f>
        <v>37500</v>
      </c>
    </row>
    <row r="45" spans="2:10" x14ac:dyDescent="0.3">
      <c r="B45" s="47" t="s">
        <v>118</v>
      </c>
      <c r="C45" s="47" t="s">
        <v>130</v>
      </c>
      <c r="D45" s="48" t="s">
        <v>188</v>
      </c>
      <c r="E45" s="47" t="s">
        <v>61</v>
      </c>
      <c r="F45" s="47">
        <v>0</v>
      </c>
      <c r="G45" s="47" t="s">
        <v>5</v>
      </c>
      <c r="H45" s="6">
        <v>0</v>
      </c>
      <c r="I45" s="24">
        <f>Budget_items[[#This Row],[€ /  Unit]]*Row!$F$1</f>
        <v>0</v>
      </c>
      <c r="J45" s="6">
        <f>PRODUCT(Budget_items[[#This Row],[Quantity]],Budget_items[[#This Row],[€ /  Unit + Finishing]])</f>
        <v>0</v>
      </c>
    </row>
    <row r="46" spans="2:10" x14ac:dyDescent="0.3">
      <c r="B46" s="47" t="s">
        <v>118</v>
      </c>
      <c r="C46" s="47" t="s">
        <v>131</v>
      </c>
      <c r="D46" s="48" t="s">
        <v>189</v>
      </c>
      <c r="E46" s="47" t="s">
        <v>62</v>
      </c>
      <c r="F46" s="47">
        <v>0</v>
      </c>
      <c r="G46" s="47" t="s">
        <v>11</v>
      </c>
      <c r="H46" s="6">
        <v>100</v>
      </c>
      <c r="I46" s="24">
        <f>Budget_items[[#This Row],[€ /  Unit]]*Row!$F$1</f>
        <v>100</v>
      </c>
      <c r="J46" s="6">
        <f>PRODUCT(Budget_items[[#This Row],[Quantity]],Budget_items[[#This Row],[€ /  Unit + Finishing]])</f>
        <v>0</v>
      </c>
    </row>
    <row r="47" spans="2:10" x14ac:dyDescent="0.3">
      <c r="B47" s="47" t="s">
        <v>118</v>
      </c>
      <c r="C47" s="47" t="s">
        <v>131</v>
      </c>
      <c r="D47" s="48" t="s">
        <v>190</v>
      </c>
      <c r="E47" s="47" t="s">
        <v>63</v>
      </c>
      <c r="F47" s="47">
        <v>63</v>
      </c>
      <c r="G47" s="47" t="s">
        <v>11</v>
      </c>
      <c r="H47" s="6">
        <v>175</v>
      </c>
      <c r="I47" s="24">
        <f>Budget_items[[#This Row],[€ /  Unit]]*Row!$F$1</f>
        <v>175</v>
      </c>
      <c r="J47" s="6">
        <f>PRODUCT(Budget_items[[#This Row],[Quantity]],Budget_items[[#This Row],[€ /  Unit + Finishing]])</f>
        <v>11025</v>
      </c>
    </row>
    <row r="48" spans="2:10" x14ac:dyDescent="0.3">
      <c r="B48" s="47" t="s">
        <v>118</v>
      </c>
      <c r="C48" s="47" t="s">
        <v>132</v>
      </c>
      <c r="D48" s="48" t="s">
        <v>191</v>
      </c>
      <c r="E48" s="47" t="s">
        <v>64</v>
      </c>
      <c r="F48" s="47">
        <v>4000</v>
      </c>
      <c r="G48" s="47" t="s">
        <v>15</v>
      </c>
      <c r="H48" s="6">
        <v>13</v>
      </c>
      <c r="I48" s="24">
        <f>Budget_items[[#This Row],[€ /  Unit]]*Row!$F$1</f>
        <v>13</v>
      </c>
      <c r="J48" s="6">
        <f>PRODUCT(Budget_items[[#This Row],[Quantity]],Budget_items[[#This Row],[€ /  Unit + Finishing]])</f>
        <v>52000</v>
      </c>
    </row>
    <row r="49" spans="2:10" x14ac:dyDescent="0.3">
      <c r="B49" s="47" t="s">
        <v>118</v>
      </c>
      <c r="C49" s="47" t="s">
        <v>132</v>
      </c>
      <c r="D49" s="48" t="s">
        <v>192</v>
      </c>
      <c r="E49" s="47" t="s">
        <v>65</v>
      </c>
      <c r="F49" s="47">
        <v>10</v>
      </c>
      <c r="G49" s="47" t="s">
        <v>7</v>
      </c>
      <c r="H49" s="6">
        <v>1500</v>
      </c>
      <c r="I49" s="24">
        <f>Budget_items[[#This Row],[€ /  Unit]]*Row!$F$1</f>
        <v>1500</v>
      </c>
      <c r="J49" s="6">
        <f>PRODUCT(Budget_items[[#This Row],[Quantity]],Budget_items[[#This Row],[€ /  Unit + Finishing]])</f>
        <v>15000</v>
      </c>
    </row>
    <row r="50" spans="2:10" x14ac:dyDescent="0.3">
      <c r="B50" s="47" t="s">
        <v>118</v>
      </c>
      <c r="C50" s="47" t="s">
        <v>133</v>
      </c>
      <c r="D50" s="48" t="s">
        <v>193</v>
      </c>
      <c r="E50" s="47" t="s">
        <v>66</v>
      </c>
      <c r="F50" s="47">
        <v>4000</v>
      </c>
      <c r="G50" s="47" t="s">
        <v>15</v>
      </c>
      <c r="H50" s="6">
        <v>10</v>
      </c>
      <c r="I50" s="24">
        <f>Budget_items[[#This Row],[€ /  Unit]]*Row!$F$1</f>
        <v>10</v>
      </c>
      <c r="J50" s="6">
        <f>PRODUCT(Budget_items[[#This Row],[Quantity]],Budget_items[[#This Row],[€ /  Unit + Finishing]])</f>
        <v>40000</v>
      </c>
    </row>
    <row r="51" spans="2:10" x14ac:dyDescent="0.3">
      <c r="B51" s="47" t="s">
        <v>118</v>
      </c>
      <c r="C51" s="47" t="s">
        <v>134</v>
      </c>
      <c r="D51" s="48" t="s">
        <v>194</v>
      </c>
      <c r="E51" s="47" t="s">
        <v>67</v>
      </c>
      <c r="F51" s="47">
        <v>6</v>
      </c>
      <c r="G51" s="47" t="s">
        <v>7</v>
      </c>
      <c r="H51" s="6">
        <v>2500</v>
      </c>
      <c r="I51" s="24">
        <f>Budget_items[[#This Row],[€ /  Unit]]*Row!$F$1</f>
        <v>2500</v>
      </c>
      <c r="J51" s="6">
        <f>PRODUCT(Budget_items[[#This Row],[Quantity]],Budget_items[[#This Row],[€ /  Unit + Finishing]])</f>
        <v>15000</v>
      </c>
    </row>
    <row r="52" spans="2:10" x14ac:dyDescent="0.3">
      <c r="B52" s="47" t="s">
        <v>118</v>
      </c>
      <c r="C52" s="47" t="s">
        <v>134</v>
      </c>
      <c r="D52" s="48" t="s">
        <v>195</v>
      </c>
      <c r="E52" s="47" t="s">
        <v>68</v>
      </c>
      <c r="F52" s="47">
        <v>5</v>
      </c>
      <c r="G52" s="47" t="s">
        <v>7</v>
      </c>
      <c r="H52" s="6">
        <v>5000</v>
      </c>
      <c r="I52" s="24">
        <f>Budget_items[[#This Row],[€ /  Unit]]*Row!$F$1</f>
        <v>5000</v>
      </c>
      <c r="J52" s="6">
        <f>PRODUCT(Budget_items[[#This Row],[Quantity]],Budget_items[[#This Row],[€ /  Unit + Finishing]])</f>
        <v>25000</v>
      </c>
    </row>
    <row r="53" spans="2:10" x14ac:dyDescent="0.3">
      <c r="B53" s="47" t="s">
        <v>118</v>
      </c>
      <c r="C53" s="47" t="s">
        <v>134</v>
      </c>
      <c r="D53" s="48" t="s">
        <v>196</v>
      </c>
      <c r="E53" s="47" t="s">
        <v>69</v>
      </c>
      <c r="F53" s="47">
        <v>2</v>
      </c>
      <c r="G53" s="47" t="s">
        <v>7</v>
      </c>
      <c r="H53" s="6">
        <v>10000</v>
      </c>
      <c r="I53" s="24">
        <f>Budget_items[[#This Row],[€ /  Unit]]*Row!$F$1</f>
        <v>10000</v>
      </c>
      <c r="J53" s="6">
        <f>PRODUCT(Budget_items[[#This Row],[Quantity]],Budget_items[[#This Row],[€ /  Unit + Finishing]])</f>
        <v>20000</v>
      </c>
    </row>
    <row r="54" spans="2:10" x14ac:dyDescent="0.3">
      <c r="B54" s="47" t="s">
        <v>118</v>
      </c>
      <c r="C54" s="47" t="s">
        <v>134</v>
      </c>
      <c r="D54" s="48" t="s">
        <v>197</v>
      </c>
      <c r="E54" s="47" t="s">
        <v>70</v>
      </c>
      <c r="F54" s="47">
        <v>5</v>
      </c>
      <c r="G54" s="47" t="s">
        <v>12</v>
      </c>
      <c r="H54" s="6">
        <v>1200</v>
      </c>
      <c r="I54" s="24">
        <f>Budget_items[[#This Row],[€ /  Unit]]*Row!$F$1</f>
        <v>1200</v>
      </c>
      <c r="J54" s="6">
        <f>PRODUCT(Budget_items[[#This Row],[Quantity]],Budget_items[[#This Row],[€ /  Unit + Finishing]])</f>
        <v>6000</v>
      </c>
    </row>
    <row r="55" spans="2:10" x14ac:dyDescent="0.3">
      <c r="B55" s="47" t="s">
        <v>119</v>
      </c>
      <c r="C55" s="47" t="s">
        <v>135</v>
      </c>
      <c r="D55" s="48" t="s">
        <v>198</v>
      </c>
      <c r="E55" s="47" t="s">
        <v>71</v>
      </c>
      <c r="F55" s="47">
        <v>1</v>
      </c>
      <c r="G55" s="47" t="s">
        <v>7</v>
      </c>
      <c r="H55" s="6">
        <v>25000</v>
      </c>
      <c r="I55" s="24">
        <f>Budget_items[[#This Row],[€ /  Unit]]*Row!$F$1</f>
        <v>25000</v>
      </c>
      <c r="J55" s="6">
        <f>PRODUCT(Budget_items[[#This Row],[Quantity]],Budget_items[[#This Row],[€ /  Unit + Finishing]])</f>
        <v>25000</v>
      </c>
    </row>
    <row r="56" spans="2:10" x14ac:dyDescent="0.3">
      <c r="B56" s="47" t="s">
        <v>119</v>
      </c>
      <c r="C56" s="47" t="s">
        <v>135</v>
      </c>
      <c r="D56" s="48" t="s">
        <v>199</v>
      </c>
      <c r="E56" s="47" t="s">
        <v>72</v>
      </c>
      <c r="F56" s="47">
        <v>3</v>
      </c>
      <c r="G56" s="47" t="s">
        <v>7</v>
      </c>
      <c r="H56" s="6">
        <v>20000</v>
      </c>
      <c r="I56" s="24">
        <f>Budget_items[[#This Row],[€ /  Unit]]*Row!$F$1</f>
        <v>20000</v>
      </c>
      <c r="J56" s="6">
        <f>PRODUCT(Budget_items[[#This Row],[Quantity]],Budget_items[[#This Row],[€ /  Unit + Finishing]])</f>
        <v>60000</v>
      </c>
    </row>
    <row r="57" spans="2:10" x14ac:dyDescent="0.3">
      <c r="B57" s="47" t="s">
        <v>119</v>
      </c>
      <c r="C57" s="47" t="s">
        <v>135</v>
      </c>
      <c r="D57" s="48" t="s">
        <v>200</v>
      </c>
      <c r="E57" s="47" t="s">
        <v>73</v>
      </c>
      <c r="F57" s="47">
        <v>0</v>
      </c>
      <c r="G57" s="47" t="s">
        <v>7</v>
      </c>
      <c r="H57" s="6">
        <v>25000</v>
      </c>
      <c r="I57" s="24">
        <f>Budget_items[[#This Row],[€ /  Unit]]*Row!$F$1</f>
        <v>25000</v>
      </c>
      <c r="J57" s="6">
        <f>PRODUCT(Budget_items[[#This Row],[Quantity]],Budget_items[[#This Row],[€ /  Unit + Finishing]])</f>
        <v>0</v>
      </c>
    </row>
    <row r="58" spans="2:10" x14ac:dyDescent="0.3">
      <c r="B58" s="47" t="s">
        <v>119</v>
      </c>
      <c r="C58" s="47" t="s">
        <v>135</v>
      </c>
      <c r="D58" s="48" t="s">
        <v>201</v>
      </c>
      <c r="E58" s="47" t="s">
        <v>74</v>
      </c>
      <c r="F58" s="47">
        <v>0</v>
      </c>
      <c r="G58" s="47" t="s">
        <v>7</v>
      </c>
      <c r="H58" s="6">
        <v>2000</v>
      </c>
      <c r="I58" s="24">
        <f>Budget_items[[#This Row],[€ /  Unit]]*Row!$F$1</f>
        <v>2000</v>
      </c>
      <c r="J58" s="6">
        <f>PRODUCT(Budget_items[[#This Row],[Quantity]],Budget_items[[#This Row],[€ /  Unit + Finishing]])</f>
        <v>0</v>
      </c>
    </row>
    <row r="59" spans="2:10" x14ac:dyDescent="0.3">
      <c r="B59" s="47" t="s">
        <v>119</v>
      </c>
      <c r="C59" s="47" t="s">
        <v>135</v>
      </c>
      <c r="D59" s="48" t="s">
        <v>202</v>
      </c>
      <c r="E59" s="47" t="s">
        <v>75</v>
      </c>
      <c r="F59" s="47">
        <v>0</v>
      </c>
      <c r="G59" s="47" t="s">
        <v>7</v>
      </c>
      <c r="H59" s="6">
        <v>3500</v>
      </c>
      <c r="I59" s="24">
        <f>Budget_items[[#This Row],[€ /  Unit]]*Row!$F$1</f>
        <v>3500</v>
      </c>
      <c r="J59" s="6">
        <f>PRODUCT(Budget_items[[#This Row],[Quantity]],Budget_items[[#This Row],[€ /  Unit + Finishing]])</f>
        <v>0</v>
      </c>
    </row>
    <row r="60" spans="2:10" x14ac:dyDescent="0.3">
      <c r="B60" s="47" t="s">
        <v>119</v>
      </c>
      <c r="C60" s="47" t="s">
        <v>135</v>
      </c>
      <c r="D60" s="48" t="s">
        <v>203</v>
      </c>
      <c r="E60" s="47" t="s">
        <v>76</v>
      </c>
      <c r="F60" s="47">
        <v>3</v>
      </c>
      <c r="G60" s="47" t="s">
        <v>7</v>
      </c>
      <c r="H60" s="6">
        <v>2000</v>
      </c>
      <c r="I60" s="24">
        <f>Budget_items[[#This Row],[€ /  Unit]]*Row!$F$1</f>
        <v>2000</v>
      </c>
      <c r="J60" s="6">
        <f>PRODUCT(Budget_items[[#This Row],[Quantity]],Budget_items[[#This Row],[€ /  Unit + Finishing]])</f>
        <v>6000</v>
      </c>
    </row>
    <row r="61" spans="2:10" x14ac:dyDescent="0.3">
      <c r="B61" s="47" t="s">
        <v>119</v>
      </c>
      <c r="C61" s="47" t="s">
        <v>135</v>
      </c>
      <c r="D61" s="48" t="s">
        <v>204</v>
      </c>
      <c r="E61" s="47" t="s">
        <v>77</v>
      </c>
      <c r="F61" s="47">
        <v>25</v>
      </c>
      <c r="G61" s="47" t="s">
        <v>7</v>
      </c>
      <c r="H61" s="6">
        <v>2500</v>
      </c>
      <c r="I61" s="24">
        <f>Budget_items[[#This Row],[€ /  Unit]]*Row!$F$1</f>
        <v>2500</v>
      </c>
      <c r="J61" s="6">
        <f>PRODUCT(Budget_items[[#This Row],[Quantity]],Budget_items[[#This Row],[€ /  Unit + Finishing]])</f>
        <v>62500</v>
      </c>
    </row>
    <row r="62" spans="2:10" x14ac:dyDescent="0.3">
      <c r="B62" s="47" t="s">
        <v>119</v>
      </c>
      <c r="C62" s="47" t="s">
        <v>135</v>
      </c>
      <c r="D62" s="48" t="s">
        <v>205</v>
      </c>
      <c r="E62" s="47" t="s">
        <v>78</v>
      </c>
      <c r="F62" s="47">
        <v>0</v>
      </c>
      <c r="G62" s="47" t="s">
        <v>7</v>
      </c>
      <c r="H62" s="6">
        <v>5000</v>
      </c>
      <c r="I62" s="24">
        <f>Budget_items[[#This Row],[€ /  Unit]]*Row!$F$1</f>
        <v>5000</v>
      </c>
      <c r="J62" s="6">
        <f>PRODUCT(Budget_items[[#This Row],[Quantity]],Budget_items[[#This Row],[€ /  Unit + Finishing]])</f>
        <v>0</v>
      </c>
    </row>
    <row r="63" spans="2:10" x14ac:dyDescent="0.3">
      <c r="B63" s="47" t="s">
        <v>120</v>
      </c>
      <c r="C63" s="47" t="s">
        <v>136</v>
      </c>
      <c r="D63" s="48" t="s">
        <v>206</v>
      </c>
      <c r="E63" s="47" t="s">
        <v>79</v>
      </c>
      <c r="F63" s="47">
        <v>10</v>
      </c>
      <c r="G63" s="47" t="s">
        <v>7</v>
      </c>
      <c r="H63" s="6">
        <v>750</v>
      </c>
      <c r="I63" s="24">
        <f>Budget_items[[#This Row],[€ /  Unit]]*Row!$F$1</f>
        <v>750</v>
      </c>
      <c r="J63" s="6">
        <f>PRODUCT(Budget_items[[#This Row],[Quantity]],Budget_items[[#This Row],[€ /  Unit + Finishing]])</f>
        <v>7500</v>
      </c>
    </row>
    <row r="64" spans="2:10" x14ac:dyDescent="0.3">
      <c r="B64" s="47" t="s">
        <v>120</v>
      </c>
      <c r="C64" s="47" t="s">
        <v>136</v>
      </c>
      <c r="D64" s="48" t="s">
        <v>207</v>
      </c>
      <c r="E64" s="47" t="s">
        <v>80</v>
      </c>
      <c r="F64" s="47">
        <v>15</v>
      </c>
      <c r="G64" s="47" t="s">
        <v>7</v>
      </c>
      <c r="H64" s="6">
        <v>1250</v>
      </c>
      <c r="I64" s="24">
        <f>Budget_items[[#This Row],[€ /  Unit]]*Row!$F$1</f>
        <v>1250</v>
      </c>
      <c r="J64" s="6">
        <f>PRODUCT(Budget_items[[#This Row],[Quantity]],Budget_items[[#This Row],[€ /  Unit + Finishing]])</f>
        <v>18750</v>
      </c>
    </row>
    <row r="65" spans="2:10" x14ac:dyDescent="0.3">
      <c r="B65" s="47" t="s">
        <v>120</v>
      </c>
      <c r="C65" s="47" t="s">
        <v>136</v>
      </c>
      <c r="D65" s="48" t="s">
        <v>208</v>
      </c>
      <c r="E65" s="47" t="s">
        <v>81</v>
      </c>
      <c r="F65" s="47">
        <v>38</v>
      </c>
      <c r="G65" s="47" t="s">
        <v>7</v>
      </c>
      <c r="H65" s="6">
        <v>400</v>
      </c>
      <c r="I65" s="24">
        <f>Budget_items[[#This Row],[€ /  Unit]]*Row!$F$1</f>
        <v>400</v>
      </c>
      <c r="J65" s="6">
        <f>PRODUCT(Budget_items[[#This Row],[Quantity]],Budget_items[[#This Row],[€ /  Unit + Finishing]])</f>
        <v>15200</v>
      </c>
    </row>
    <row r="66" spans="2:10" x14ac:dyDescent="0.3">
      <c r="B66" s="47" t="s">
        <v>120</v>
      </c>
      <c r="C66" s="47" t="s">
        <v>136</v>
      </c>
      <c r="D66" s="48" t="s">
        <v>209</v>
      </c>
      <c r="E66" s="47" t="s">
        <v>82</v>
      </c>
      <c r="F66" s="47">
        <v>10</v>
      </c>
      <c r="G66" s="47" t="s">
        <v>7</v>
      </c>
      <c r="H66" s="6">
        <v>850</v>
      </c>
      <c r="I66" s="24">
        <f>Budget_items[[#This Row],[€ /  Unit]]*Row!$F$1</f>
        <v>850</v>
      </c>
      <c r="J66" s="6">
        <f>PRODUCT(Budget_items[[#This Row],[Quantity]],Budget_items[[#This Row],[€ /  Unit + Finishing]])</f>
        <v>8500</v>
      </c>
    </row>
    <row r="67" spans="2:10" x14ac:dyDescent="0.3">
      <c r="B67" s="47" t="s">
        <v>120</v>
      </c>
      <c r="C67" s="47" t="s">
        <v>137</v>
      </c>
      <c r="D67" s="48" t="s">
        <v>210</v>
      </c>
      <c r="E67" s="47" t="s">
        <v>83</v>
      </c>
      <c r="F67" s="47">
        <v>6</v>
      </c>
      <c r="G67" s="47" t="s">
        <v>12</v>
      </c>
      <c r="H67" s="6">
        <v>2000</v>
      </c>
      <c r="I67" s="24">
        <f>Budget_items[[#This Row],[€ /  Unit]]*Row!$F$1</f>
        <v>2000</v>
      </c>
      <c r="J67" s="6">
        <f>PRODUCT(Budget_items[[#This Row],[Quantity]],Budget_items[[#This Row],[€ /  Unit + Finishing]])</f>
        <v>12000</v>
      </c>
    </row>
    <row r="68" spans="2:10" x14ac:dyDescent="0.3">
      <c r="B68" s="47" t="s">
        <v>120</v>
      </c>
      <c r="C68" s="47" t="s">
        <v>137</v>
      </c>
      <c r="D68" s="48" t="s">
        <v>211</v>
      </c>
      <c r="E68" s="47" t="s">
        <v>84</v>
      </c>
      <c r="F68" s="47">
        <v>3</v>
      </c>
      <c r="G68" s="47" t="s">
        <v>12</v>
      </c>
      <c r="H68" s="6">
        <v>3500</v>
      </c>
      <c r="I68" s="24">
        <f>Budget_items[[#This Row],[€ /  Unit]]*Row!$F$1</f>
        <v>3500</v>
      </c>
      <c r="J68" s="6">
        <f>PRODUCT(Budget_items[[#This Row],[Quantity]],Budget_items[[#This Row],[€ /  Unit + Finishing]])</f>
        <v>10500</v>
      </c>
    </row>
    <row r="69" spans="2:10" x14ac:dyDescent="0.3">
      <c r="B69" s="47" t="s">
        <v>120</v>
      </c>
      <c r="C69" s="47" t="s">
        <v>137</v>
      </c>
      <c r="D69" s="48" t="s">
        <v>212</v>
      </c>
      <c r="E69" s="47" t="s">
        <v>85</v>
      </c>
      <c r="F69" s="47">
        <v>0</v>
      </c>
      <c r="G69" s="47" t="s">
        <v>12</v>
      </c>
      <c r="H69" s="6">
        <v>12500</v>
      </c>
      <c r="I69" s="24">
        <f>Budget_items[[#This Row],[€ /  Unit]]*Row!$F$1</f>
        <v>12500</v>
      </c>
      <c r="J69" s="6">
        <f>PRODUCT(Budget_items[[#This Row],[Quantity]],Budget_items[[#This Row],[€ /  Unit + Finishing]])</f>
        <v>0</v>
      </c>
    </row>
    <row r="70" spans="2:10" x14ac:dyDescent="0.3">
      <c r="B70" s="47" t="s">
        <v>120</v>
      </c>
      <c r="C70" s="47" t="s">
        <v>137</v>
      </c>
      <c r="D70" s="48" t="s">
        <v>213</v>
      </c>
      <c r="E70" s="47" t="s">
        <v>86</v>
      </c>
      <c r="F70" s="47">
        <v>1</v>
      </c>
      <c r="G70" s="47" t="s">
        <v>12</v>
      </c>
      <c r="H70" s="6">
        <v>15000</v>
      </c>
      <c r="I70" s="24">
        <f>Budget_items[[#This Row],[€ /  Unit]]*Row!$F$1</f>
        <v>15000</v>
      </c>
      <c r="J70" s="6">
        <f>PRODUCT(Budget_items[[#This Row],[Quantity]],Budget_items[[#This Row],[€ /  Unit + Finishing]])</f>
        <v>15000</v>
      </c>
    </row>
    <row r="71" spans="2:10" x14ac:dyDescent="0.3">
      <c r="B71" s="47" t="s">
        <v>120</v>
      </c>
      <c r="C71" s="47" t="s">
        <v>138</v>
      </c>
      <c r="D71" s="48" t="s">
        <v>214</v>
      </c>
      <c r="E71" s="47" t="s">
        <v>87</v>
      </c>
      <c r="F71" s="47">
        <v>0</v>
      </c>
      <c r="G71" s="47" t="s">
        <v>7</v>
      </c>
      <c r="H71" s="6">
        <v>8500</v>
      </c>
      <c r="I71" s="24">
        <f>Budget_items[[#This Row],[€ /  Unit]]*Row!$F$1</f>
        <v>8500</v>
      </c>
      <c r="J71" s="6">
        <f>PRODUCT(Budget_items[[#This Row],[Quantity]],Budget_items[[#This Row],[€ /  Unit + Finishing]])</f>
        <v>0</v>
      </c>
    </row>
    <row r="72" spans="2:10" x14ac:dyDescent="0.3">
      <c r="B72" s="47" t="s">
        <v>120</v>
      </c>
      <c r="C72" s="47" t="s">
        <v>138</v>
      </c>
      <c r="D72" s="48" t="s">
        <v>215</v>
      </c>
      <c r="E72" s="47" t="s">
        <v>88</v>
      </c>
      <c r="F72" s="47">
        <v>0</v>
      </c>
      <c r="G72" s="47" t="s">
        <v>7</v>
      </c>
      <c r="H72" s="6">
        <v>300</v>
      </c>
      <c r="I72" s="24">
        <f>Budget_items[[#This Row],[€ /  Unit]]*Row!$F$1</f>
        <v>300</v>
      </c>
      <c r="J72" s="6">
        <f>PRODUCT(Budget_items[[#This Row],[Quantity]],Budget_items[[#This Row],[€ /  Unit + Finishing]])</f>
        <v>0</v>
      </c>
    </row>
    <row r="73" spans="2:10" x14ac:dyDescent="0.3">
      <c r="B73" s="47" t="s">
        <v>120</v>
      </c>
      <c r="C73" s="47" t="s">
        <v>138</v>
      </c>
      <c r="D73" s="48" t="s">
        <v>216</v>
      </c>
      <c r="E73" s="47" t="s">
        <v>89</v>
      </c>
      <c r="F73" s="47">
        <v>3</v>
      </c>
      <c r="G73" s="47" t="s">
        <v>7</v>
      </c>
      <c r="H73" s="6">
        <v>3000</v>
      </c>
      <c r="I73" s="24">
        <f>Budget_items[[#This Row],[€ /  Unit]]*Row!$F$1</f>
        <v>3000</v>
      </c>
      <c r="J73" s="6">
        <f>PRODUCT(Budget_items[[#This Row],[Quantity]],Budget_items[[#This Row],[€ /  Unit + Finishing]])</f>
        <v>9000</v>
      </c>
    </row>
    <row r="74" spans="2:10" x14ac:dyDescent="0.3">
      <c r="B74" s="47" t="s">
        <v>120</v>
      </c>
      <c r="C74" s="47" t="s">
        <v>138</v>
      </c>
      <c r="D74" s="48" t="s">
        <v>217</v>
      </c>
      <c r="E74" s="47" t="s">
        <v>90</v>
      </c>
      <c r="F74" s="47">
        <v>10</v>
      </c>
      <c r="G74" s="47" t="s">
        <v>7</v>
      </c>
      <c r="H74" s="6">
        <v>750</v>
      </c>
      <c r="I74" s="24">
        <f>Budget_items[[#This Row],[€ /  Unit]]*Row!$F$1</f>
        <v>750</v>
      </c>
      <c r="J74" s="6">
        <f>PRODUCT(Budget_items[[#This Row],[Quantity]],Budget_items[[#This Row],[€ /  Unit + Finishing]])</f>
        <v>7500</v>
      </c>
    </row>
    <row r="75" spans="2:10" x14ac:dyDescent="0.3">
      <c r="B75" s="47" t="s">
        <v>120</v>
      </c>
      <c r="C75" s="47" t="s">
        <v>138</v>
      </c>
      <c r="D75" s="48" t="s">
        <v>218</v>
      </c>
      <c r="E75" s="47" t="s">
        <v>91</v>
      </c>
      <c r="F75" s="47">
        <v>15</v>
      </c>
      <c r="G75" s="47" t="s">
        <v>7</v>
      </c>
      <c r="H75" s="6">
        <v>350</v>
      </c>
      <c r="I75" s="24">
        <f>Budget_items[[#This Row],[€ /  Unit]]*Row!$F$1</f>
        <v>350</v>
      </c>
      <c r="J75" s="6">
        <f>PRODUCT(Budget_items[[#This Row],[Quantity]],Budget_items[[#This Row],[€ /  Unit + Finishing]])</f>
        <v>5250</v>
      </c>
    </row>
    <row r="76" spans="2:10" x14ac:dyDescent="0.3">
      <c r="B76" s="47" t="s">
        <v>120</v>
      </c>
      <c r="C76" s="47" t="s">
        <v>138</v>
      </c>
      <c r="D76" s="48" t="s">
        <v>219</v>
      </c>
      <c r="E76" s="47" t="s">
        <v>92</v>
      </c>
      <c r="F76" s="47">
        <v>12</v>
      </c>
      <c r="G76" s="47" t="s">
        <v>7</v>
      </c>
      <c r="H76" s="6">
        <v>400</v>
      </c>
      <c r="I76" s="24">
        <f>Budget_items[[#This Row],[€ /  Unit]]*Row!$F$1</f>
        <v>400</v>
      </c>
      <c r="J76" s="6">
        <f>PRODUCT(Budget_items[[#This Row],[Quantity]],Budget_items[[#This Row],[€ /  Unit + Finishing]])</f>
        <v>4800</v>
      </c>
    </row>
    <row r="77" spans="2:10" x14ac:dyDescent="0.3">
      <c r="B77" s="47" t="s">
        <v>120</v>
      </c>
      <c r="C77" s="47" t="s">
        <v>138</v>
      </c>
      <c r="D77" s="48" t="s">
        <v>220</v>
      </c>
      <c r="E77" s="47" t="s">
        <v>93</v>
      </c>
      <c r="F77" s="47">
        <v>50</v>
      </c>
      <c r="G77" s="47" t="s">
        <v>13</v>
      </c>
      <c r="H77" s="6">
        <v>250</v>
      </c>
      <c r="I77" s="24">
        <f>Budget_items[[#This Row],[€ /  Unit]]*Row!$F$1</f>
        <v>250</v>
      </c>
      <c r="J77" s="6">
        <f>PRODUCT(Budget_items[[#This Row],[Quantity]],Budget_items[[#This Row],[€ /  Unit + Finishing]])</f>
        <v>12500</v>
      </c>
    </row>
    <row r="78" spans="2:10" x14ac:dyDescent="0.3">
      <c r="B78" s="47" t="s">
        <v>124</v>
      </c>
      <c r="C78" s="47" t="s">
        <v>139</v>
      </c>
      <c r="D78" s="48" t="s">
        <v>221</v>
      </c>
      <c r="E78" s="47" t="s">
        <v>94</v>
      </c>
      <c r="F78" s="47">
        <v>3200</v>
      </c>
      <c r="G78" s="47" t="s">
        <v>15</v>
      </c>
      <c r="H78" s="6">
        <v>6</v>
      </c>
      <c r="I78" s="24">
        <f>Budget_items[[#This Row],[€ /  Unit]]*Row!$F$1</f>
        <v>6</v>
      </c>
      <c r="J78" s="6">
        <f>PRODUCT(Budget_items[[#This Row],[Quantity]],Budget_items[[#This Row],[€ /  Unit + Finishing]])</f>
        <v>19200</v>
      </c>
    </row>
    <row r="79" spans="2:10" x14ac:dyDescent="0.3">
      <c r="B79" s="47" t="s">
        <v>124</v>
      </c>
      <c r="C79" s="47" t="s">
        <v>139</v>
      </c>
      <c r="D79" s="48" t="s">
        <v>222</v>
      </c>
      <c r="E79" s="47" t="s">
        <v>95</v>
      </c>
      <c r="F79" s="47">
        <v>3200</v>
      </c>
      <c r="G79" s="47" t="s">
        <v>15</v>
      </c>
      <c r="H79" s="6">
        <v>4</v>
      </c>
      <c r="I79" s="24">
        <f>Budget_items[[#This Row],[€ /  Unit]]*Row!$F$1</f>
        <v>4</v>
      </c>
      <c r="J79" s="6">
        <f>PRODUCT(Budget_items[[#This Row],[Quantity]],Budget_items[[#This Row],[€ /  Unit + Finishing]])</f>
        <v>12800</v>
      </c>
    </row>
    <row r="80" spans="2:10" x14ac:dyDescent="0.3">
      <c r="B80" s="47" t="s">
        <v>124</v>
      </c>
      <c r="C80" s="47" t="s">
        <v>139</v>
      </c>
      <c r="D80" s="48" t="s">
        <v>223</v>
      </c>
      <c r="E80" s="47" t="s">
        <v>96</v>
      </c>
      <c r="F80" s="47">
        <v>4000</v>
      </c>
      <c r="G80" s="47" t="s">
        <v>15</v>
      </c>
      <c r="H80" s="6">
        <v>8</v>
      </c>
      <c r="I80" s="24">
        <f>Budget_items[[#This Row],[€ /  Unit]]*Row!$F$1</f>
        <v>8</v>
      </c>
      <c r="J80" s="6">
        <f>PRODUCT(Budget_items[[#This Row],[Quantity]],Budget_items[[#This Row],[€ /  Unit + Finishing]])</f>
        <v>32000</v>
      </c>
    </row>
    <row r="81" spans="2:10" x14ac:dyDescent="0.3">
      <c r="B81" s="47" t="s">
        <v>124</v>
      </c>
      <c r="C81" s="47" t="s">
        <v>139</v>
      </c>
      <c r="D81" s="48" t="s">
        <v>224</v>
      </c>
      <c r="E81" s="47" t="s">
        <v>97</v>
      </c>
      <c r="F81" s="47">
        <v>1000</v>
      </c>
      <c r="G81" s="47" t="s">
        <v>15</v>
      </c>
      <c r="H81" s="6">
        <v>5</v>
      </c>
      <c r="I81" s="24">
        <f>Budget_items[[#This Row],[€ /  Unit]]*Row!$F$1</f>
        <v>5</v>
      </c>
      <c r="J81" s="6">
        <f>PRODUCT(Budget_items[[#This Row],[Quantity]],Budget_items[[#This Row],[€ /  Unit + Finishing]])</f>
        <v>5000</v>
      </c>
    </row>
    <row r="82" spans="2:10" x14ac:dyDescent="0.3">
      <c r="B82" s="47" t="s">
        <v>124</v>
      </c>
      <c r="C82" s="47" t="s">
        <v>139</v>
      </c>
      <c r="D82" s="48" t="s">
        <v>225</v>
      </c>
      <c r="E82" s="47" t="s">
        <v>98</v>
      </c>
      <c r="F82" s="47">
        <v>5</v>
      </c>
      <c r="G82" s="47" t="s">
        <v>7</v>
      </c>
      <c r="H82" s="6">
        <v>500</v>
      </c>
      <c r="I82" s="24">
        <f>Budget_items[[#This Row],[€ /  Unit]]*Row!$F$1</f>
        <v>500</v>
      </c>
      <c r="J82" s="6">
        <f>PRODUCT(Budget_items[[#This Row],[Quantity]],Budget_items[[#This Row],[€ /  Unit + Finishing]])</f>
        <v>2500</v>
      </c>
    </row>
    <row r="83" spans="2:10" x14ac:dyDescent="0.3">
      <c r="B83" s="47" t="s">
        <v>124</v>
      </c>
      <c r="C83" s="47" t="s">
        <v>139</v>
      </c>
      <c r="D83" s="48" t="s">
        <v>226</v>
      </c>
      <c r="E83" s="47" t="s">
        <v>99</v>
      </c>
      <c r="F83" s="47">
        <v>1</v>
      </c>
      <c r="G83" s="47" t="s">
        <v>7</v>
      </c>
      <c r="H83" s="6">
        <v>30000</v>
      </c>
      <c r="I83" s="24">
        <f>Budget_items[[#This Row],[€ /  Unit]]*Row!$F$1</f>
        <v>30000</v>
      </c>
      <c r="J83" s="6">
        <f>PRODUCT(Budget_items[[#This Row],[Quantity]],Budget_items[[#This Row],[€ /  Unit + Finishing]])</f>
        <v>30000</v>
      </c>
    </row>
    <row r="84" spans="2:10" x14ac:dyDescent="0.3">
      <c r="B84" s="47" t="s">
        <v>121</v>
      </c>
      <c r="C84" s="47" t="s">
        <v>140</v>
      </c>
      <c r="D84" s="48" t="s">
        <v>227</v>
      </c>
      <c r="E84" s="47" t="s">
        <v>100</v>
      </c>
      <c r="F84" s="47">
        <v>0</v>
      </c>
      <c r="G84" s="47" t="s">
        <v>14</v>
      </c>
      <c r="H84" s="6">
        <v>75</v>
      </c>
      <c r="I84" s="24">
        <f>Budget_items[[#This Row],[€ /  Unit]]*Row!$F$1</f>
        <v>75</v>
      </c>
      <c r="J84" s="6">
        <f>PRODUCT(Budget_items[[#This Row],[Quantity]],Budget_items[[#This Row],[€ /  Unit + Finishing]])</f>
        <v>0</v>
      </c>
    </row>
    <row r="85" spans="2:10" x14ac:dyDescent="0.3">
      <c r="B85" s="47" t="s">
        <v>121</v>
      </c>
      <c r="C85" s="47" t="s">
        <v>140</v>
      </c>
      <c r="D85" s="48" t="s">
        <v>228</v>
      </c>
      <c r="E85" s="47" t="s">
        <v>101</v>
      </c>
      <c r="F85" s="47">
        <v>38</v>
      </c>
      <c r="G85" s="47" t="s">
        <v>14</v>
      </c>
      <c r="H85" s="6">
        <v>150</v>
      </c>
      <c r="I85" s="24">
        <f>Budget_items[[#This Row],[€ /  Unit]]*Row!$F$1</f>
        <v>150</v>
      </c>
      <c r="J85" s="6">
        <f>PRODUCT(Budget_items[[#This Row],[Quantity]],Budget_items[[#This Row],[€ /  Unit + Finishing]])</f>
        <v>5700</v>
      </c>
    </row>
    <row r="86" spans="2:10" x14ac:dyDescent="0.3">
      <c r="B86" s="47" t="s">
        <v>122</v>
      </c>
      <c r="C86" s="47" t="s">
        <v>141</v>
      </c>
      <c r="D86" s="48" t="s">
        <v>229</v>
      </c>
      <c r="E86" s="47" t="s">
        <v>102</v>
      </c>
      <c r="F86" s="47">
        <v>1</v>
      </c>
      <c r="G86" s="47" t="s">
        <v>5</v>
      </c>
      <c r="H86" s="6">
        <v>160000</v>
      </c>
      <c r="I86" s="24">
        <f>Budget_items[[#This Row],[€ /  Unit]]*Row!$F$1</f>
        <v>160000</v>
      </c>
      <c r="J86" s="6">
        <f>PRODUCT(Budget_items[[#This Row],[Quantity]],Budget_items[[#This Row],[€ /  Unit + Finishing]])</f>
        <v>160000</v>
      </c>
    </row>
    <row r="87" spans="2:10" x14ac:dyDescent="0.3">
      <c r="B87" s="47" t="s">
        <v>122</v>
      </c>
      <c r="C87" s="47" t="s">
        <v>141</v>
      </c>
      <c r="D87" s="48" t="s">
        <v>230</v>
      </c>
      <c r="E87" s="47" t="s">
        <v>103</v>
      </c>
      <c r="F87" s="47">
        <v>1</v>
      </c>
      <c r="G87" s="47" t="s">
        <v>5</v>
      </c>
      <c r="H87" s="6">
        <v>15000</v>
      </c>
      <c r="I87" s="24">
        <f>Budget_items[[#This Row],[€ /  Unit]]*Row!$F$1</f>
        <v>15000</v>
      </c>
      <c r="J87" s="6">
        <f>PRODUCT(Budget_items[[#This Row],[Quantity]],Budget_items[[#This Row],[€ /  Unit + Finishing]])</f>
        <v>15000</v>
      </c>
    </row>
    <row r="88" spans="2:10" x14ac:dyDescent="0.3">
      <c r="B88" s="47" t="s">
        <v>122</v>
      </c>
      <c r="C88" s="47" t="s">
        <v>141</v>
      </c>
      <c r="D88" s="48" t="s">
        <v>231</v>
      </c>
      <c r="E88" s="47" t="s">
        <v>104</v>
      </c>
      <c r="F88" s="47">
        <v>0</v>
      </c>
      <c r="G88" s="47" t="s">
        <v>5</v>
      </c>
      <c r="H88" s="6">
        <v>0</v>
      </c>
      <c r="I88" s="24">
        <f>Budget_items[[#This Row],[€ /  Unit]]*Row!$F$1</f>
        <v>0</v>
      </c>
      <c r="J88" s="6">
        <f>PRODUCT(Budget_items[[#This Row],[Quantity]],Budget_items[[#This Row],[€ /  Unit + Finishing]])</f>
        <v>0</v>
      </c>
    </row>
    <row r="89" spans="2:10" x14ac:dyDescent="0.3">
      <c r="B89" s="47" t="s">
        <v>122</v>
      </c>
      <c r="C89" s="47" t="s">
        <v>141</v>
      </c>
      <c r="D89" s="48" t="s">
        <v>232</v>
      </c>
      <c r="E89" s="47" t="s">
        <v>105</v>
      </c>
      <c r="F89" s="47">
        <v>1</v>
      </c>
      <c r="G89" s="47" t="s">
        <v>5</v>
      </c>
      <c r="H89" s="6">
        <v>70000</v>
      </c>
      <c r="I89" s="24">
        <f>Budget_items[[#This Row],[€ /  Unit]]*Row!$F$1</f>
        <v>70000</v>
      </c>
      <c r="J89" s="6">
        <f>PRODUCT(Budget_items[[#This Row],[Quantity]],Budget_items[[#This Row],[€ /  Unit + Finishing]])</f>
        <v>70000</v>
      </c>
    </row>
    <row r="90" spans="2:10" x14ac:dyDescent="0.3">
      <c r="B90" s="47" t="s">
        <v>123</v>
      </c>
      <c r="C90" s="47" t="s">
        <v>142</v>
      </c>
      <c r="D90" s="48" t="s">
        <v>233</v>
      </c>
      <c r="E90" s="47" t="s">
        <v>106</v>
      </c>
      <c r="F90" s="47">
        <v>1</v>
      </c>
      <c r="G90" s="47" t="s">
        <v>5</v>
      </c>
      <c r="H90" s="6">
        <v>200000</v>
      </c>
      <c r="I90" s="24">
        <f>Budget_items[[#This Row],[€ /  Unit]]*Row!$F$1</f>
        <v>200000</v>
      </c>
      <c r="J90" s="6">
        <f>PRODUCT(Budget_items[[#This Row],[Quantity]],Budget_items[[#This Row],[€ /  Unit + Finishing]])</f>
        <v>200000</v>
      </c>
    </row>
    <row r="91" spans="2:10" x14ac:dyDescent="0.3">
      <c r="D91"/>
      <c r="F91"/>
      <c r="G91"/>
      <c r="H91" t="s">
        <v>243</v>
      </c>
      <c r="J91" s="4">
        <f>SUBTOTAL(109,Budget_items[Total])</f>
        <v>1751800</v>
      </c>
    </row>
    <row r="92" spans="2:10" x14ac:dyDescent="0.3">
      <c r="D92"/>
      <c r="F92"/>
      <c r="G92"/>
    </row>
    <row r="93" spans="2:10" x14ac:dyDescent="0.3">
      <c r="D93"/>
      <c r="F93"/>
      <c r="G93"/>
    </row>
    <row r="94" spans="2:10" x14ac:dyDescent="0.3">
      <c r="D94"/>
      <c r="F94"/>
      <c r="G94"/>
    </row>
    <row r="95" spans="2:10" x14ac:dyDescent="0.3">
      <c r="B95" s="4"/>
      <c r="E95" s="4"/>
      <c r="F95"/>
      <c r="G95"/>
    </row>
    <row r="96" spans="2:10" x14ac:dyDescent="0.3">
      <c r="B96" s="4"/>
      <c r="E96" s="4"/>
      <c r="F96"/>
      <c r="G96"/>
    </row>
    <row r="97" spans="2:7" x14ac:dyDescent="0.3">
      <c r="B97" s="4"/>
      <c r="E97" s="4"/>
      <c r="F97"/>
      <c r="G97"/>
    </row>
    <row r="98" spans="2:7" x14ac:dyDescent="0.3">
      <c r="B98" s="4"/>
      <c r="E98" s="4"/>
      <c r="F98"/>
      <c r="G98"/>
    </row>
    <row r="99" spans="2:7" x14ac:dyDescent="0.3">
      <c r="B99" s="4"/>
      <c r="E99" s="4"/>
      <c r="F99"/>
      <c r="G99"/>
    </row>
    <row r="100" spans="2:7" x14ac:dyDescent="0.3">
      <c r="B100" s="4"/>
      <c r="E100" s="4"/>
      <c r="F100"/>
      <c r="G100"/>
    </row>
    <row r="101" spans="2:7" x14ac:dyDescent="0.3">
      <c r="B101" s="4"/>
      <c r="E101" s="4"/>
      <c r="F101"/>
      <c r="G101"/>
    </row>
    <row r="102" spans="2:7" x14ac:dyDescent="0.3">
      <c r="B102" s="4"/>
      <c r="E102" s="4"/>
      <c r="F102"/>
      <c r="G102"/>
    </row>
  </sheetData>
  <dataConsolidate/>
  <phoneticPr fontId="3" type="noConversion"/>
  <pageMargins left="0.7" right="0.7" top="0.75" bottom="0.75" header="0.3" footer="0.3"/>
  <pageSetup paperSize="9" orientation="portrait" horizontalDpi="300" verticalDpi="300" r:id="rId1"/>
  <ignoredErrors>
    <ignoredError sqref="I88" evalError="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00A2F56F-A9C5-4E10-AFA9-99CFE73E19FC}">
          <x14:formula1>
            <xm:f>Row!$C$2:$C$13</xm:f>
          </x14:formula1>
          <xm:sqref>G4:G90</xm:sqref>
        </x14:dataValidation>
        <x14:dataValidation type="list" allowBlank="1" showInputMessage="1" showErrorMessage="1" xr:uid="{9D2DAF14-1274-478B-BC2E-C94DAE0B266D}">
          <x14:formula1>
            <xm:f>'Data entry'!$M$2:$M$599</xm:f>
          </x14:formula1>
          <xm:sqref>B4:B90</xm:sqref>
        </x14:dataValidation>
        <x14:dataValidation type="list" allowBlank="1" showInputMessage="1" showErrorMessage="1" xr:uid="{5ED4132F-5552-4920-8133-E60413A0F866}">
          <x14:formula1>
            <xm:f>'Data entry'!$P$2:$P$1048576</xm:f>
          </x14:formula1>
          <xm:sqref>C4:C90</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5CC62-866D-4B1C-ADDA-892DE563D760}">
  <dimension ref="A1:R617"/>
  <sheetViews>
    <sheetView topLeftCell="D1" zoomScale="110" zoomScaleNormal="186" workbookViewId="0">
      <selection activeCell="H12" sqref="H12"/>
    </sheetView>
  </sheetViews>
  <sheetFormatPr defaultRowHeight="14.4" x14ac:dyDescent="0.3"/>
  <cols>
    <col min="1" max="1" width="35.88671875" style="7" hidden="1" customWidth="1"/>
    <col min="2" max="2" width="10" style="7" hidden="1" customWidth="1"/>
    <col min="3" max="3" width="4.21875" style="11" hidden="1" customWidth="1"/>
    <col min="4" max="4" width="10.5546875" style="7" bestFit="1" customWidth="1"/>
    <col min="5" max="5" width="22.88671875" style="7" bestFit="1" customWidth="1"/>
    <col min="6" max="6" width="8.88671875" style="7"/>
    <col min="7" max="7" width="10.109375" style="7" bestFit="1" customWidth="1"/>
    <col min="8" max="8" width="15.88671875" style="7" bestFit="1" customWidth="1"/>
    <col min="9" max="12" width="8.88671875" style="7"/>
    <col min="13" max="13" width="29.77734375" style="7" customWidth="1"/>
    <col min="14" max="14" width="10.109375" style="12" customWidth="1"/>
    <col min="15" max="15" width="7.21875" style="7" customWidth="1"/>
    <col min="16" max="16" width="36.21875" style="7" bestFit="1" customWidth="1"/>
    <col min="17" max="18" width="8.88671875" style="12"/>
    <col min="19" max="16384" width="8.88671875" style="7"/>
  </cols>
  <sheetData>
    <row r="1" spans="1:18" x14ac:dyDescent="0.3">
      <c r="A1" s="7" t="s">
        <v>26</v>
      </c>
      <c r="B1" s="7" t="s">
        <v>0</v>
      </c>
      <c r="D1" s="45" t="s">
        <v>108</v>
      </c>
      <c r="E1" s="45"/>
      <c r="G1" s="46" t="s">
        <v>110</v>
      </c>
      <c r="H1" s="46"/>
      <c r="J1" s="45" t="s">
        <v>113</v>
      </c>
      <c r="K1" s="45"/>
      <c r="L1" s="11"/>
      <c r="M1" s="16" t="s">
        <v>25</v>
      </c>
      <c r="N1" s="18" t="s">
        <v>114</v>
      </c>
      <c r="P1" s="19" t="s">
        <v>26</v>
      </c>
      <c r="Q1" s="22" t="s">
        <v>115</v>
      </c>
      <c r="R1" s="22" t="s">
        <v>116</v>
      </c>
    </row>
    <row r="2" spans="1:18" x14ac:dyDescent="0.3">
      <c r="A2" s="7" t="str">
        <f t="shared" ref="A2:A15" si="0">P2</f>
        <v>01.01 - General construction</v>
      </c>
      <c r="B2" s="8" t="str">
        <f>LEFT(A2,4)&amp;C2</f>
        <v>01.0.07</v>
      </c>
      <c r="C2" s="29" t="str">
        <f>IF(COUNTIFS(Budget_items[Subheaders],'Data entry'!A2)&lt;10,".0"&amp;COUNTIFS(Budget_items[Subheaders],'Data entry'!A2),"."&amp;COUNTIFS(Budget_items[Subheaders],'Data entry'!A2))</f>
        <v>.07</v>
      </c>
      <c r="D2" s="9" t="s">
        <v>25</v>
      </c>
      <c r="E2" s="9"/>
      <c r="G2" s="9" t="s">
        <v>111</v>
      </c>
      <c r="H2" s="9"/>
      <c r="J2" s="9" t="s">
        <v>111</v>
      </c>
      <c r="K2" s="9"/>
      <c r="M2" s="9" t="s">
        <v>117</v>
      </c>
      <c r="N2" s="26" t="str">
        <f t="shared" ref="N2:N9" si="1">LEFT(M2,2)</f>
        <v>01</v>
      </c>
      <c r="P2" s="9" t="s">
        <v>125</v>
      </c>
      <c r="Q2" s="23" t="str">
        <f t="shared" ref="Q2:Q22" si="2">LEFT(P2,5)</f>
        <v>01.01</v>
      </c>
      <c r="R2" s="12" t="str">
        <f t="shared" ref="R2:R22" si="3">SUBSTITUTE(Q2," "&amp;"-","")</f>
        <v>01.01</v>
      </c>
    </row>
    <row r="3" spans="1:18" x14ac:dyDescent="0.3">
      <c r="A3" s="7" t="str">
        <f t="shared" si="0"/>
        <v>01.02 - Demolition</v>
      </c>
      <c r="B3" s="8" t="str">
        <f>LEFT(A3,5)&amp;C3</f>
        <v>01.02.04</v>
      </c>
      <c r="C3" s="29" t="str">
        <f>IF(COUNTIFS(Budget_items[Subheaders],'Data entry'!A3)&lt;10,".0"&amp;COUNTIFS(Budget_items[Subheaders],'Data entry'!A3),"."&amp;COUNTIFS(Budget_items[Subheaders],'Data entry'!A3))</f>
        <v>.04</v>
      </c>
      <c r="D3" s="9" t="s">
        <v>26</v>
      </c>
      <c r="E3" s="9"/>
      <c r="G3" s="9" t="s">
        <v>112</v>
      </c>
      <c r="H3" s="9"/>
      <c r="M3" s="25" t="s">
        <v>118</v>
      </c>
      <c r="N3" s="26" t="str">
        <f t="shared" si="1"/>
        <v>02</v>
      </c>
      <c r="P3" s="20" t="s">
        <v>126</v>
      </c>
      <c r="Q3" s="23" t="str">
        <f t="shared" si="2"/>
        <v>01.02</v>
      </c>
      <c r="R3" s="12" t="str">
        <f t="shared" si="3"/>
        <v>01.02</v>
      </c>
    </row>
    <row r="4" spans="1:18" x14ac:dyDescent="0.3">
      <c r="A4" s="7" t="str">
        <f t="shared" si="0"/>
        <v>01.03 - Partitioning</v>
      </c>
      <c r="B4" s="8" t="str">
        <f t="shared" ref="B4:B23" si="4">LEFT(A4,5)&amp;C4</f>
        <v>01.03.07</v>
      </c>
      <c r="C4" s="29" t="str">
        <f>IF(COUNTIFS(Budget_items[Subheaders],'Data entry'!A4)&lt;10,".0"&amp;COUNTIFS(Budget_items[Subheaders],'Data entry'!A4),"."&amp;COUNTIFS(Budget_items[Subheaders],'Data entry'!A4))</f>
        <v>.07</v>
      </c>
      <c r="D4" s="9" t="s">
        <v>0</v>
      </c>
      <c r="E4" s="9">
        <f>_xlfn.XLOOKUP(E3,A:A,B:B," ")</f>
        <v>0</v>
      </c>
      <c r="M4" s="25" t="s">
        <v>119</v>
      </c>
      <c r="N4" s="26" t="str">
        <f t="shared" si="1"/>
        <v>03</v>
      </c>
      <c r="P4" s="13" t="s">
        <v>127</v>
      </c>
      <c r="Q4" s="23" t="str">
        <f t="shared" si="2"/>
        <v>01.03</v>
      </c>
      <c r="R4" s="12" t="str">
        <f t="shared" si="3"/>
        <v>01.03</v>
      </c>
    </row>
    <row r="5" spans="1:18" x14ac:dyDescent="0.3">
      <c r="A5" s="7" t="str">
        <f t="shared" si="0"/>
        <v>01.04 - Ceiling</v>
      </c>
      <c r="B5" s="8" t="str">
        <f t="shared" si="4"/>
        <v>01.04.03</v>
      </c>
      <c r="C5" s="29" t="str">
        <f>IF(COUNTIFS(Budget_items[Subheaders],'Data entry'!A5)&lt;10,".0"&amp;COUNTIFS(Budget_items[Subheaders],'Data entry'!A5),"."&amp;COUNTIFS(Budget_items[Subheaders],'Data entry'!A5))</f>
        <v>.03</v>
      </c>
      <c r="D5" s="9" t="s">
        <v>1</v>
      </c>
      <c r="E5" s="9"/>
      <c r="M5" s="14" t="s">
        <v>120</v>
      </c>
      <c r="N5" s="26" t="str">
        <f t="shared" si="1"/>
        <v>04</v>
      </c>
      <c r="P5" s="13" t="s">
        <v>143</v>
      </c>
      <c r="Q5" s="23" t="str">
        <f t="shared" si="2"/>
        <v>01.04</v>
      </c>
      <c r="R5" s="12" t="str">
        <f t="shared" si="3"/>
        <v>01.04</v>
      </c>
    </row>
    <row r="6" spans="1:18" x14ac:dyDescent="0.3">
      <c r="A6" s="7" t="str">
        <f t="shared" si="0"/>
        <v>01.05 - Flooring</v>
      </c>
      <c r="B6" s="8" t="str">
        <f t="shared" si="4"/>
        <v>01.05.09</v>
      </c>
      <c r="C6" s="29" t="str">
        <f>IF(COUNTIFS(Budget_items[Subheaders],'Data entry'!A6)&lt;10,".0"&amp;COUNTIFS(Budget_items[Subheaders],'Data entry'!A6),"."&amp;COUNTIFS(Budget_items[Subheaders],'Data entry'!A6))</f>
        <v>.09</v>
      </c>
      <c r="D6" s="9" t="s">
        <v>2</v>
      </c>
      <c r="E6" s="9"/>
      <c r="M6" s="14" t="s">
        <v>124</v>
      </c>
      <c r="N6" s="26" t="str">
        <f t="shared" si="1"/>
        <v>05</v>
      </c>
      <c r="P6" s="13" t="s">
        <v>128</v>
      </c>
      <c r="Q6" s="23" t="str">
        <f t="shared" si="2"/>
        <v>01.05</v>
      </c>
      <c r="R6" s="12" t="str">
        <f t="shared" si="3"/>
        <v>01.05</v>
      </c>
    </row>
    <row r="7" spans="1:18" x14ac:dyDescent="0.3">
      <c r="A7" s="7" t="str">
        <f t="shared" si="0"/>
        <v>01.06 - Painting</v>
      </c>
      <c r="B7" s="8" t="str">
        <f t="shared" si="4"/>
        <v>01.06.05</v>
      </c>
      <c r="C7" s="29" t="str">
        <f>IF(COUNTIFS(Budget_items[Subheaders],'Data entry'!A7)&lt;10,".0"&amp;COUNTIFS(Budget_items[Subheaders],'Data entry'!A7),"."&amp;COUNTIFS(Budget_items[Subheaders],'Data entry'!A7))</f>
        <v>.05</v>
      </c>
      <c r="D7" s="9" t="s">
        <v>107</v>
      </c>
      <c r="E7" s="9"/>
      <c r="M7" s="14" t="s">
        <v>121</v>
      </c>
      <c r="N7" s="26" t="str">
        <f t="shared" si="1"/>
        <v>06</v>
      </c>
      <c r="P7" s="13" t="s">
        <v>144</v>
      </c>
      <c r="Q7" s="23" t="str">
        <f t="shared" si="2"/>
        <v>01.06</v>
      </c>
      <c r="R7" s="12" t="str">
        <f t="shared" si="3"/>
        <v>01.06</v>
      </c>
    </row>
    <row r="8" spans="1:18" x14ac:dyDescent="0.3">
      <c r="A8" s="7" t="str">
        <f t="shared" si="0"/>
        <v>02.01 - Mechanical installation &amp; plumbing</v>
      </c>
      <c r="B8" s="8" t="str">
        <f t="shared" si="4"/>
        <v>02.01.03</v>
      </c>
      <c r="C8" s="29" t="str">
        <f>IF(COUNTIFS(Budget_items[Subheaders],'Data entry'!A8)&lt;10,".0"&amp;COUNTIFS(Budget_items[Subheaders],'Data entry'!A8),"."&amp;COUNTIFS(Budget_items[Subheaders],'Data entry'!A8))</f>
        <v>.03</v>
      </c>
      <c r="D8" s="9" t="s">
        <v>3</v>
      </c>
      <c r="E8" s="10"/>
      <c r="M8" s="14" t="s">
        <v>122</v>
      </c>
      <c r="N8" s="26" t="str">
        <f t="shared" si="1"/>
        <v>07</v>
      </c>
      <c r="P8" s="13" t="s">
        <v>129</v>
      </c>
      <c r="Q8" s="23" t="str">
        <f t="shared" si="2"/>
        <v>02.01</v>
      </c>
      <c r="R8" s="12" t="str">
        <f t="shared" si="3"/>
        <v>02.01</v>
      </c>
    </row>
    <row r="9" spans="1:18" x14ac:dyDescent="0.3">
      <c r="A9" s="7" t="str">
        <f t="shared" si="0"/>
        <v>02.02 - Electrical installation</v>
      </c>
      <c r="B9" s="8" t="str">
        <f t="shared" si="4"/>
        <v>02.02.06</v>
      </c>
      <c r="C9" s="29" t="str">
        <f>IF(COUNTIFS(Budget_items[Subheaders],'Data entry'!A9)&lt;10,".0"&amp;COUNTIFS(Budget_items[Subheaders],'Data entry'!A9),"."&amp;COUNTIFS(Budget_items[Subheaders],'Data entry'!A9))</f>
        <v>.06</v>
      </c>
      <c r="M9" s="14" t="s">
        <v>123</v>
      </c>
      <c r="N9" s="26" t="str">
        <f t="shared" si="1"/>
        <v>08</v>
      </c>
      <c r="P9" s="13" t="s">
        <v>130</v>
      </c>
      <c r="Q9" s="23" t="str">
        <f t="shared" si="2"/>
        <v>02.02</v>
      </c>
      <c r="R9" s="12" t="str">
        <f t="shared" si="3"/>
        <v>02.02</v>
      </c>
    </row>
    <row r="10" spans="1:18" x14ac:dyDescent="0.3">
      <c r="A10" s="7" t="str">
        <f t="shared" si="0"/>
        <v>02.03 - Data installation</v>
      </c>
      <c r="B10" s="8" t="str">
        <f t="shared" si="4"/>
        <v>02.03.02</v>
      </c>
      <c r="C10" s="29" t="str">
        <f>IF(COUNTIFS(Budget_items[Subheaders],'Data entry'!A10)&lt;10,".0"&amp;COUNTIFS(Budget_items[Subheaders],'Data entry'!A10),"."&amp;COUNTIFS(Budget_items[Subheaders],'Data entry'!A10))</f>
        <v>.02</v>
      </c>
      <c r="D10" s="46"/>
      <c r="E10" s="46"/>
      <c r="P10" s="13" t="s">
        <v>131</v>
      </c>
      <c r="Q10" s="23" t="str">
        <f t="shared" si="2"/>
        <v>02.03</v>
      </c>
      <c r="R10" s="12" t="str">
        <f t="shared" si="3"/>
        <v>02.03</v>
      </c>
    </row>
    <row r="11" spans="1:18" x14ac:dyDescent="0.3">
      <c r="A11" s="7" t="str">
        <f t="shared" si="0"/>
        <v>02.04 - Security installation &amp; access control</v>
      </c>
      <c r="B11" s="8" t="str">
        <f t="shared" si="4"/>
        <v>02.04.02</v>
      </c>
      <c r="C11" s="29" t="str">
        <f>IF(COUNTIFS(Budget_items[Subheaders],'Data entry'!A11)&lt;10,".0"&amp;COUNTIFS(Budget_items[Subheaders],'Data entry'!A11),"."&amp;COUNTIFS(Budget_items[Subheaders],'Data entry'!A11))</f>
        <v>.02</v>
      </c>
      <c r="P11" s="13" t="s">
        <v>132</v>
      </c>
      <c r="Q11" s="23" t="str">
        <f t="shared" si="2"/>
        <v>02.04</v>
      </c>
      <c r="R11" s="12" t="str">
        <f t="shared" si="3"/>
        <v>02.04</v>
      </c>
    </row>
    <row r="12" spans="1:18" x14ac:dyDescent="0.3">
      <c r="A12" s="7" t="str">
        <f t="shared" si="0"/>
        <v>02.05 - Fire safety installation</v>
      </c>
      <c r="B12" s="8" t="str">
        <f t="shared" si="4"/>
        <v>02.05.01</v>
      </c>
      <c r="C12" s="29" t="str">
        <f>IF(COUNTIFS(Budget_items[Subheaders],'Data entry'!A12)&lt;10,".0"&amp;COUNTIFS(Budget_items[Subheaders],'Data entry'!A12),"."&amp;COUNTIFS(Budget_items[Subheaders],'Data entry'!A12))</f>
        <v>.01</v>
      </c>
      <c r="P12" s="13" t="s">
        <v>133</v>
      </c>
      <c r="Q12" s="23" t="str">
        <f t="shared" si="2"/>
        <v>02.05</v>
      </c>
      <c r="R12" s="12" t="str">
        <f t="shared" si="3"/>
        <v>02.05</v>
      </c>
    </row>
    <row r="13" spans="1:18" x14ac:dyDescent="0.3">
      <c r="A13" s="7" t="str">
        <f t="shared" si="0"/>
        <v>02.06 - Audiovisual installation</v>
      </c>
      <c r="B13" s="8" t="str">
        <f t="shared" si="4"/>
        <v>02.06.04</v>
      </c>
      <c r="C13" s="29" t="str">
        <f>IF(COUNTIFS(Budget_items[Subheaders],'Data entry'!A13)&lt;10,".0"&amp;COUNTIFS(Budget_items[Subheaders],'Data entry'!A13),"."&amp;COUNTIFS(Budget_items[Subheaders],'Data entry'!A13))</f>
        <v>.04</v>
      </c>
      <c r="P13" s="13" t="s">
        <v>134</v>
      </c>
      <c r="Q13" s="23" t="str">
        <f t="shared" si="2"/>
        <v>02.06</v>
      </c>
      <c r="R13" s="12" t="str">
        <f t="shared" si="3"/>
        <v>02.06</v>
      </c>
    </row>
    <row r="14" spans="1:18" x14ac:dyDescent="0.3">
      <c r="A14" s="7" t="str">
        <f t="shared" si="0"/>
        <v>03.01 - Joinery</v>
      </c>
      <c r="B14" s="8" t="str">
        <f t="shared" si="4"/>
        <v>03.01.08</v>
      </c>
      <c r="C14" s="29" t="str">
        <f>IF(COUNTIFS(Budget_items[Subheaders],'Data entry'!A14)&lt;10,".0"&amp;COUNTIFS(Budget_items[Subheaders],'Data entry'!A14),"."&amp;COUNTIFS(Budget_items[Subheaders],'Data entry'!A14))</f>
        <v>.08</v>
      </c>
      <c r="P14" s="13" t="s">
        <v>135</v>
      </c>
      <c r="Q14" s="23" t="str">
        <f t="shared" si="2"/>
        <v>03.01</v>
      </c>
      <c r="R14" s="12" t="str">
        <f t="shared" si="3"/>
        <v>03.01</v>
      </c>
    </row>
    <row r="15" spans="1:18" x14ac:dyDescent="0.3">
      <c r="A15" s="7" t="str">
        <f t="shared" si="0"/>
        <v>04.01 - Workplace furniture</v>
      </c>
      <c r="B15" s="8" t="str">
        <f>LEFT(A15,5)&amp;C15</f>
        <v>04.01.04</v>
      </c>
      <c r="C15" s="29" t="str">
        <f>IF(COUNTIFS(Budget_items[Subheaders],'Data entry'!A15)&lt;10,".0"&amp;COUNTIFS(Budget_items[Subheaders],'Data entry'!A15),"."&amp;COUNTIFS(Budget_items[Subheaders],'Data entry'!A15))</f>
        <v>.04</v>
      </c>
      <c r="P15" s="13" t="s">
        <v>136</v>
      </c>
      <c r="Q15" s="23" t="str">
        <f t="shared" si="2"/>
        <v>04.01</v>
      </c>
      <c r="R15" s="12" t="str">
        <f t="shared" si="3"/>
        <v>04.01</v>
      </c>
    </row>
    <row r="16" spans="1:18" x14ac:dyDescent="0.3">
      <c r="A16" s="7" t="e">
        <f>#REF!</f>
        <v>#REF!</v>
      </c>
      <c r="B16" s="8" t="e">
        <f>LEFT(A16,5)&amp;C16</f>
        <v>#REF!</v>
      </c>
      <c r="C16" s="29" t="str">
        <f>IF(COUNTIFS(Budget_items[Subheaders],'Data entry'!A16)&lt;10,".0"&amp;COUNTIFS(Budget_items[Subheaders],'Data entry'!A16),"."&amp;COUNTIFS(Budget_items[Subheaders],'Data entry'!A16))</f>
        <v>.00</v>
      </c>
      <c r="P16" s="13" t="s">
        <v>137</v>
      </c>
      <c r="Q16" s="23" t="str">
        <f t="shared" si="2"/>
        <v>04.02</v>
      </c>
      <c r="R16" s="12" t="str">
        <f t="shared" si="3"/>
        <v>04.02</v>
      </c>
    </row>
    <row r="17" spans="1:18" x14ac:dyDescent="0.3">
      <c r="A17" s="7" t="str">
        <f>P16</f>
        <v>04.02 - Meeting furniture</v>
      </c>
      <c r="B17" s="8" t="str">
        <f t="shared" si="4"/>
        <v>04.02.04</v>
      </c>
      <c r="C17" s="29" t="str">
        <f>IF(COUNTIFS(Budget_items[Subheaders],'Data entry'!A17)&lt;10,".0"&amp;COUNTIFS(Budget_items[Subheaders],'Data entry'!A17),"."&amp;COUNTIFS(Budget_items[Subheaders],'Data entry'!A17))</f>
        <v>.04</v>
      </c>
      <c r="P17" s="13" t="s">
        <v>138</v>
      </c>
      <c r="Q17" s="23" t="str">
        <f t="shared" si="2"/>
        <v>04.03</v>
      </c>
      <c r="R17" s="12" t="str">
        <f t="shared" si="3"/>
        <v>04.03</v>
      </c>
    </row>
    <row r="18" spans="1:18" x14ac:dyDescent="0.3">
      <c r="A18" s="7" t="str">
        <f>P17</f>
        <v>04.03 - Loose furniture</v>
      </c>
      <c r="B18" s="8" t="str">
        <f t="shared" si="4"/>
        <v>04.03.07</v>
      </c>
      <c r="C18" s="29" t="str">
        <f>IF(COUNTIFS(Budget_items[Subheaders],'Data entry'!A18)&lt;10,".0"&amp;COUNTIFS(Budget_items[Subheaders],'Data entry'!A18),"."&amp;COUNTIFS(Budget_items[Subheaders],'Data entry'!A18))</f>
        <v>.07</v>
      </c>
      <c r="E18" s="28"/>
      <c r="P18" s="13" t="s">
        <v>139</v>
      </c>
      <c r="Q18" s="23" t="str">
        <f t="shared" si="2"/>
        <v>05.01</v>
      </c>
      <c r="R18" s="12" t="str">
        <f t="shared" si="3"/>
        <v>05.01</v>
      </c>
    </row>
    <row r="19" spans="1:18" x14ac:dyDescent="0.3">
      <c r="A19" s="7" t="str">
        <f>P18</f>
        <v>05.01 - Inventory &amp; decorations</v>
      </c>
      <c r="B19" s="8" t="str">
        <f t="shared" si="4"/>
        <v>05.01.06</v>
      </c>
      <c r="C19" s="29" t="str">
        <f>IF(COUNTIFS(Budget_items[Subheaders],'Data entry'!A19)&lt;10,".0"&amp;COUNTIFS(Budget_items[Subheaders],'Data entry'!A19),"."&amp;COUNTIFS(Budget_items[Subheaders],'Data entry'!A19))</f>
        <v>.06</v>
      </c>
      <c r="P19" s="13" t="s">
        <v>140</v>
      </c>
      <c r="Q19" s="23" t="str">
        <f t="shared" si="2"/>
        <v>06.01</v>
      </c>
      <c r="R19" s="12" t="str">
        <f t="shared" si="3"/>
        <v>06.01</v>
      </c>
    </row>
    <row r="20" spans="1:18" x14ac:dyDescent="0.3">
      <c r="A20" s="7" t="str">
        <f>P19</f>
        <v>06.01 - Move</v>
      </c>
      <c r="B20" s="8" t="str">
        <f t="shared" si="4"/>
        <v>06.01.02</v>
      </c>
      <c r="C20" s="29" t="str">
        <f>IF(COUNTIFS(Budget_items[Subheaders],'Data entry'!A20)&lt;10,".0"&amp;COUNTIFS(Budget_items[Subheaders],'Data entry'!A20),"."&amp;COUNTIFS(Budget_items[Subheaders],'Data entry'!A20))</f>
        <v>.02</v>
      </c>
      <c r="P20" s="13" t="s">
        <v>141</v>
      </c>
      <c r="Q20" s="23" t="str">
        <f t="shared" si="2"/>
        <v>07.01</v>
      </c>
      <c r="R20" s="12" t="str">
        <f t="shared" si="3"/>
        <v>07.01</v>
      </c>
    </row>
    <row r="21" spans="1:18" x14ac:dyDescent="0.3">
      <c r="A21" s="7" t="e">
        <f>#REF!</f>
        <v>#REF!</v>
      </c>
      <c r="B21" s="8" t="e">
        <f t="shared" si="4"/>
        <v>#REF!</v>
      </c>
      <c r="C21" s="29" t="str">
        <f>IF(COUNTIFS(Budget_items[Subheaders],'Data entry'!A21)&lt;10,".0"&amp;COUNTIFS(Budget_items[Subheaders],'Data entry'!A21),"."&amp;COUNTIFS(Budget_items[Subheaders],'Data entry'!A21))</f>
        <v>.00</v>
      </c>
      <c r="P21" s="21" t="s">
        <v>142</v>
      </c>
      <c r="Q21" s="23" t="str">
        <f t="shared" si="2"/>
        <v>08.01</v>
      </c>
      <c r="R21" s="12" t="str">
        <f t="shared" si="3"/>
        <v>08.01</v>
      </c>
    </row>
    <row r="22" spans="1:18" x14ac:dyDescent="0.3">
      <c r="A22" s="7" t="str">
        <f>P21</f>
        <v>08.01 - Contingency</v>
      </c>
      <c r="B22" s="8" t="str">
        <f t="shared" si="4"/>
        <v>08.01.01</v>
      </c>
      <c r="C22" s="29" t="str">
        <f>IF(COUNTIFS(Budget_items[Subheaders],'Data entry'!A22)&lt;10,".0"&amp;COUNTIFS(Budget_items[Subheaders],'Data entry'!A22),"."&amp;COUNTIFS(Budget_items[Subheaders],'Data entry'!A22))</f>
        <v>.01</v>
      </c>
      <c r="P22" s="15"/>
      <c r="Q22" s="27" t="str">
        <f t="shared" si="2"/>
        <v/>
      </c>
      <c r="R22" s="27" t="str">
        <f t="shared" si="3"/>
        <v/>
      </c>
    </row>
    <row r="23" spans="1:18" x14ac:dyDescent="0.3">
      <c r="A23" s="7" t="e">
        <f>#REF!</f>
        <v>#REF!</v>
      </c>
      <c r="B23" s="8" t="e">
        <f t="shared" si="4"/>
        <v>#REF!</v>
      </c>
      <c r="C23" s="29" t="str">
        <f>IF(COUNTIFS(Budget_items[Subheaders],'Data entry'!A23)&lt;10,".0"&amp;COUNTIFS(Budget_items[Subheaders],'Data entry'!A23),"."&amp;COUNTIFS(Budget_items[Subheaders],'Data entry'!A23))</f>
        <v>.00</v>
      </c>
    </row>
    <row r="24" spans="1:18" x14ac:dyDescent="0.3">
      <c r="A24" s="7">
        <f>P24</f>
        <v>0</v>
      </c>
      <c r="B24" s="8" t="str">
        <f t="shared" ref="B24:B66" si="5">LEFT(A24,4)&amp;C24</f>
        <v>0.00</v>
      </c>
      <c r="C24" s="29" t="str">
        <f>IF(COUNTIFS(Budget_items[Subheaders],'Data entry'!A24)&lt;10,".0"&amp;COUNTIFS(Budget_items[Subheaders],'Data entry'!A24),"."&amp;COUNTIFS(Budget_items[Subheaders],'Data entry'!A24))</f>
        <v>.00</v>
      </c>
    </row>
    <row r="25" spans="1:18" x14ac:dyDescent="0.3">
      <c r="A25" s="7">
        <f>P25</f>
        <v>0</v>
      </c>
      <c r="B25" s="8" t="str">
        <f t="shared" si="5"/>
        <v>0.00</v>
      </c>
      <c r="C25" s="29" t="str">
        <f>IF(COUNTIFS(Budget_items[Subheaders],'Data entry'!A25)&lt;10,".0"&amp;COUNTIFS(Budget_items[Subheaders],'Data entry'!A25),"."&amp;COUNTIFS(Budget_items[Subheaders],'Data entry'!A25))</f>
        <v>.00</v>
      </c>
    </row>
    <row r="26" spans="1:18" x14ac:dyDescent="0.3">
      <c r="A26" s="7">
        <f t="shared" ref="A26:A89" si="6">P28</f>
        <v>0</v>
      </c>
      <c r="B26" s="8" t="str">
        <f t="shared" si="5"/>
        <v>0.00</v>
      </c>
      <c r="C26" s="29" t="str">
        <f>IF(COUNTIFS(Budget_items[Subheaders],'Data entry'!A26)&lt;10,".0"&amp;COUNTIFS(Budget_items[Subheaders],'Data entry'!A26),"."&amp;COUNTIFS(Budget_items[Subheaders],'Data entry'!A26))</f>
        <v>.00</v>
      </c>
    </row>
    <row r="27" spans="1:18" x14ac:dyDescent="0.3">
      <c r="A27" s="7">
        <f t="shared" si="6"/>
        <v>0</v>
      </c>
      <c r="B27" s="8" t="str">
        <f t="shared" si="5"/>
        <v>0.00</v>
      </c>
      <c r="C27" s="29" t="str">
        <f>IF(COUNTIFS(Budget_items[Subheaders],'Data entry'!A27)&lt;10,".0"&amp;COUNTIFS(Budget_items[Subheaders],'Data entry'!A27),"."&amp;COUNTIFS(Budget_items[Subheaders],'Data entry'!A27))</f>
        <v>.00</v>
      </c>
    </row>
    <row r="28" spans="1:18" x14ac:dyDescent="0.3">
      <c r="A28" s="7">
        <f t="shared" si="6"/>
        <v>0</v>
      </c>
      <c r="B28" s="8" t="str">
        <f t="shared" si="5"/>
        <v>0.00</v>
      </c>
      <c r="C28" s="29" t="str">
        <f>IF(COUNTIFS(Budget_items[Subheaders],'Data entry'!A28)&lt;10,".0"&amp;COUNTIFS(Budget_items[Subheaders],'Data entry'!A28),"."&amp;COUNTIFS(Budget_items[Subheaders],'Data entry'!A28))</f>
        <v>.00</v>
      </c>
    </row>
    <row r="29" spans="1:18" x14ac:dyDescent="0.3">
      <c r="A29" s="7">
        <f t="shared" si="6"/>
        <v>0</v>
      </c>
      <c r="B29" s="8" t="str">
        <f t="shared" si="5"/>
        <v>0.00</v>
      </c>
      <c r="C29" s="29" t="str">
        <f>IF(COUNTIFS(Budget_items[Subheaders],'Data entry'!A29)&lt;10,".0"&amp;COUNTIFS(Budget_items[Subheaders],'Data entry'!A29),"."&amp;COUNTIFS(Budget_items[Subheaders],'Data entry'!A29))</f>
        <v>.00</v>
      </c>
    </row>
    <row r="30" spans="1:18" x14ac:dyDescent="0.3">
      <c r="A30" s="7">
        <f t="shared" si="6"/>
        <v>0</v>
      </c>
      <c r="B30" s="8" t="str">
        <f t="shared" si="5"/>
        <v>0.00</v>
      </c>
      <c r="C30" s="29" t="str">
        <f>IF(COUNTIFS(Budget_items[Subheaders],'Data entry'!A30)&lt;10,".0"&amp;COUNTIFS(Budget_items[Subheaders],'Data entry'!A30),"."&amp;COUNTIFS(Budget_items[Subheaders],'Data entry'!A30))</f>
        <v>.00</v>
      </c>
    </row>
    <row r="31" spans="1:18" x14ac:dyDescent="0.3">
      <c r="A31" s="7">
        <f t="shared" si="6"/>
        <v>0</v>
      </c>
      <c r="B31" s="8" t="str">
        <f t="shared" si="5"/>
        <v>0.00</v>
      </c>
      <c r="C31" s="29" t="str">
        <f>IF(COUNTIFS(Budget_items[Subheaders],'Data entry'!A31)&lt;10,".0"&amp;COUNTIFS(Budget_items[Subheaders],'Data entry'!A31),"."&amp;COUNTIFS(Budget_items[Subheaders],'Data entry'!A31))</f>
        <v>.00</v>
      </c>
    </row>
    <row r="32" spans="1:18" x14ac:dyDescent="0.3">
      <c r="A32" s="7">
        <f t="shared" si="6"/>
        <v>0</v>
      </c>
      <c r="B32" s="8" t="str">
        <f t="shared" si="5"/>
        <v>0.00</v>
      </c>
      <c r="C32" s="29" t="str">
        <f>IF(COUNTIFS(Budget_items[Subheaders],'Data entry'!A32)&lt;10,".0"&amp;COUNTIFS(Budget_items[Subheaders],'Data entry'!A32),"."&amp;COUNTIFS(Budget_items[Subheaders],'Data entry'!A32))</f>
        <v>.00</v>
      </c>
    </row>
    <row r="33" spans="1:3" x14ac:dyDescent="0.3">
      <c r="A33" s="7">
        <f t="shared" si="6"/>
        <v>0</v>
      </c>
      <c r="B33" s="8" t="str">
        <f t="shared" si="5"/>
        <v>0.00</v>
      </c>
      <c r="C33" s="29" t="str">
        <f>IF(COUNTIFS(Budget_items[Subheaders],'Data entry'!A33)&lt;10,".0"&amp;COUNTIFS(Budget_items[Subheaders],'Data entry'!A33),"."&amp;COUNTIFS(Budget_items[Subheaders],'Data entry'!A33))</f>
        <v>.00</v>
      </c>
    </row>
    <row r="34" spans="1:3" x14ac:dyDescent="0.3">
      <c r="A34" s="7">
        <f t="shared" si="6"/>
        <v>0</v>
      </c>
      <c r="B34" s="8" t="str">
        <f t="shared" si="5"/>
        <v>0.00</v>
      </c>
      <c r="C34" s="29" t="str">
        <f>IF(COUNTIFS(Budget_items[Subheaders],'Data entry'!A34)&lt;10,".0"&amp;COUNTIFS(Budget_items[Subheaders],'Data entry'!A34),"."&amp;COUNTIFS(Budget_items[Subheaders],'Data entry'!A34))</f>
        <v>.00</v>
      </c>
    </row>
    <row r="35" spans="1:3" x14ac:dyDescent="0.3">
      <c r="A35" s="7">
        <f t="shared" si="6"/>
        <v>0</v>
      </c>
      <c r="B35" s="8" t="str">
        <f t="shared" si="5"/>
        <v>0.00</v>
      </c>
      <c r="C35" s="29" t="str">
        <f>IF(COUNTIFS(Budget_items[Subheaders],'Data entry'!A35)&lt;10,".0"&amp;COUNTIFS(Budget_items[Subheaders],'Data entry'!A35),"."&amp;COUNTIFS(Budget_items[Subheaders],'Data entry'!A35))</f>
        <v>.00</v>
      </c>
    </row>
    <row r="36" spans="1:3" x14ac:dyDescent="0.3">
      <c r="A36" s="7">
        <f t="shared" si="6"/>
        <v>0</v>
      </c>
      <c r="B36" s="8" t="str">
        <f t="shared" si="5"/>
        <v>0.00</v>
      </c>
      <c r="C36" s="29" t="str">
        <f>IF(COUNTIFS(Budget_items[Subheaders],'Data entry'!A36)&lt;10,".0"&amp;COUNTIFS(Budget_items[Subheaders],'Data entry'!A36),"."&amp;COUNTIFS(Budget_items[Subheaders],'Data entry'!A36))</f>
        <v>.00</v>
      </c>
    </row>
    <row r="37" spans="1:3" x14ac:dyDescent="0.3">
      <c r="A37" s="7">
        <f t="shared" si="6"/>
        <v>0</v>
      </c>
      <c r="B37" s="8" t="str">
        <f t="shared" si="5"/>
        <v>0.00</v>
      </c>
      <c r="C37" s="29" t="str">
        <f>IF(COUNTIFS(Budget_items[Subheaders],'Data entry'!A37)&lt;10,".0"&amp;COUNTIFS(Budget_items[Subheaders],'Data entry'!A37),"."&amp;COUNTIFS(Budget_items[Subheaders],'Data entry'!A37))</f>
        <v>.00</v>
      </c>
    </row>
    <row r="38" spans="1:3" x14ac:dyDescent="0.3">
      <c r="A38" s="7">
        <f t="shared" si="6"/>
        <v>0</v>
      </c>
      <c r="B38" s="8" t="str">
        <f t="shared" si="5"/>
        <v>0.00</v>
      </c>
      <c r="C38" s="29" t="str">
        <f>IF(COUNTIFS(Budget_items[Subheaders],'Data entry'!A38)&lt;10,".0"&amp;COUNTIFS(Budget_items[Subheaders],'Data entry'!A38),"."&amp;COUNTIFS(Budget_items[Subheaders],'Data entry'!A38))</f>
        <v>.00</v>
      </c>
    </row>
    <row r="39" spans="1:3" x14ac:dyDescent="0.3">
      <c r="A39" s="7">
        <f t="shared" si="6"/>
        <v>0</v>
      </c>
      <c r="B39" s="8" t="str">
        <f t="shared" si="5"/>
        <v>0.00</v>
      </c>
      <c r="C39" s="29" t="str">
        <f>IF(COUNTIFS(Budget_items[Subheaders],'Data entry'!A39)&lt;10,".0"&amp;COUNTIFS(Budget_items[Subheaders],'Data entry'!A39),"."&amp;COUNTIFS(Budget_items[Subheaders],'Data entry'!A39))</f>
        <v>.00</v>
      </c>
    </row>
    <row r="40" spans="1:3" x14ac:dyDescent="0.3">
      <c r="A40" s="7">
        <f t="shared" si="6"/>
        <v>0</v>
      </c>
      <c r="B40" s="8" t="str">
        <f t="shared" si="5"/>
        <v>0.00</v>
      </c>
      <c r="C40" s="29" t="str">
        <f>IF(COUNTIFS(Budget_items[Subheaders],'Data entry'!A40)&lt;10,".0"&amp;COUNTIFS(Budget_items[Subheaders],'Data entry'!A40),"."&amp;COUNTIFS(Budget_items[Subheaders],'Data entry'!A40))</f>
        <v>.00</v>
      </c>
    </row>
    <row r="41" spans="1:3" x14ac:dyDescent="0.3">
      <c r="A41" s="7">
        <f t="shared" si="6"/>
        <v>0</v>
      </c>
      <c r="B41" s="8" t="str">
        <f t="shared" si="5"/>
        <v>0.00</v>
      </c>
      <c r="C41" s="29" t="str">
        <f>IF(COUNTIFS(Budget_items[Subheaders],'Data entry'!A41)&lt;10,".0"&amp;COUNTIFS(Budget_items[Subheaders],'Data entry'!A41),"."&amp;COUNTIFS(Budget_items[Subheaders],'Data entry'!A41))</f>
        <v>.00</v>
      </c>
    </row>
    <row r="42" spans="1:3" x14ac:dyDescent="0.3">
      <c r="A42" s="7">
        <f t="shared" si="6"/>
        <v>0</v>
      </c>
      <c r="B42" s="8" t="str">
        <f t="shared" si="5"/>
        <v>0.00</v>
      </c>
      <c r="C42" s="29" t="str">
        <f>IF(COUNTIFS(Budget_items[Subheaders],'Data entry'!A42)&lt;10,".0"&amp;COUNTIFS(Budget_items[Subheaders],'Data entry'!A42),"."&amp;COUNTIFS(Budget_items[Subheaders],'Data entry'!A42))</f>
        <v>.00</v>
      </c>
    </row>
    <row r="43" spans="1:3" x14ac:dyDescent="0.3">
      <c r="A43" s="7">
        <f t="shared" si="6"/>
        <v>0</v>
      </c>
      <c r="B43" s="8" t="str">
        <f t="shared" si="5"/>
        <v>0.00</v>
      </c>
      <c r="C43" s="29" t="str">
        <f>IF(COUNTIFS(Budget_items[Subheaders],'Data entry'!A43)&lt;10,".0"&amp;COUNTIFS(Budget_items[Subheaders],'Data entry'!A43),"."&amp;COUNTIFS(Budget_items[Subheaders],'Data entry'!A43))</f>
        <v>.00</v>
      </c>
    </row>
    <row r="44" spans="1:3" x14ac:dyDescent="0.3">
      <c r="A44" s="7">
        <f t="shared" si="6"/>
        <v>0</v>
      </c>
      <c r="B44" s="8" t="str">
        <f t="shared" si="5"/>
        <v>0.00</v>
      </c>
      <c r="C44" s="29" t="str">
        <f>IF(COUNTIFS(Budget_items[Subheaders],'Data entry'!A44)&lt;10,".0"&amp;COUNTIFS(Budget_items[Subheaders],'Data entry'!A44),"."&amp;COUNTIFS(Budget_items[Subheaders],'Data entry'!A44))</f>
        <v>.00</v>
      </c>
    </row>
    <row r="45" spans="1:3" x14ac:dyDescent="0.3">
      <c r="A45" s="7">
        <f t="shared" si="6"/>
        <v>0</v>
      </c>
      <c r="B45" s="8" t="str">
        <f t="shared" si="5"/>
        <v>0.00</v>
      </c>
      <c r="C45" s="29" t="str">
        <f>IF(COUNTIFS(Budget_items[Subheaders],'Data entry'!A45)&lt;10,".0"&amp;COUNTIFS(Budget_items[Subheaders],'Data entry'!A45),"."&amp;COUNTIFS(Budget_items[Subheaders],'Data entry'!A45))</f>
        <v>.00</v>
      </c>
    </row>
    <row r="46" spans="1:3" x14ac:dyDescent="0.3">
      <c r="A46" s="7">
        <f t="shared" si="6"/>
        <v>0</v>
      </c>
      <c r="B46" s="8" t="str">
        <f t="shared" si="5"/>
        <v>0.00</v>
      </c>
      <c r="C46" s="29" t="str">
        <f>IF(COUNTIFS(Budget_items[Subheaders],'Data entry'!A46)&lt;10,".0"&amp;COUNTIFS(Budget_items[Subheaders],'Data entry'!A46),"."&amp;COUNTIFS(Budget_items[Subheaders],'Data entry'!A46))</f>
        <v>.00</v>
      </c>
    </row>
    <row r="47" spans="1:3" x14ac:dyDescent="0.3">
      <c r="A47" s="7">
        <f t="shared" si="6"/>
        <v>0</v>
      </c>
      <c r="B47" s="8" t="str">
        <f t="shared" si="5"/>
        <v>0.00</v>
      </c>
      <c r="C47" s="29" t="str">
        <f>IF(COUNTIFS(Budget_items[Subheaders],'Data entry'!A47)&lt;10,".0"&amp;COUNTIFS(Budget_items[Subheaders],'Data entry'!A47),"."&amp;COUNTIFS(Budget_items[Subheaders],'Data entry'!A47))</f>
        <v>.00</v>
      </c>
    </row>
    <row r="48" spans="1:3" x14ac:dyDescent="0.3">
      <c r="A48" s="7">
        <f t="shared" si="6"/>
        <v>0</v>
      </c>
      <c r="B48" s="8" t="str">
        <f t="shared" si="5"/>
        <v>0.00</v>
      </c>
      <c r="C48" s="29" t="str">
        <f>IF(COUNTIFS(Budget_items[Subheaders],'Data entry'!A48)&lt;10,".0"&amp;COUNTIFS(Budget_items[Subheaders],'Data entry'!A48),"."&amp;COUNTIFS(Budget_items[Subheaders],'Data entry'!A48))</f>
        <v>.00</v>
      </c>
    </row>
    <row r="49" spans="1:3" x14ac:dyDescent="0.3">
      <c r="A49" s="7">
        <f t="shared" si="6"/>
        <v>0</v>
      </c>
      <c r="B49" s="8" t="str">
        <f t="shared" si="5"/>
        <v>0.00</v>
      </c>
      <c r="C49" s="29" t="str">
        <f>IF(COUNTIFS(Budget_items[Subheaders],'Data entry'!A49)&lt;10,".0"&amp;COUNTIFS(Budget_items[Subheaders],'Data entry'!A49),"."&amp;COUNTIFS(Budget_items[Subheaders],'Data entry'!A49))</f>
        <v>.00</v>
      </c>
    </row>
    <row r="50" spans="1:3" x14ac:dyDescent="0.3">
      <c r="A50" s="7">
        <f t="shared" si="6"/>
        <v>0</v>
      </c>
      <c r="B50" s="8" t="str">
        <f t="shared" si="5"/>
        <v>0.00</v>
      </c>
      <c r="C50" s="29" t="str">
        <f>IF(COUNTIFS(Budget_items[Subheaders],'Data entry'!A50)&lt;10,".0"&amp;COUNTIFS(Budget_items[Subheaders],'Data entry'!A50),"."&amp;COUNTIFS(Budget_items[Subheaders],'Data entry'!A50))</f>
        <v>.00</v>
      </c>
    </row>
    <row r="51" spans="1:3" x14ac:dyDescent="0.3">
      <c r="A51" s="7">
        <f t="shared" si="6"/>
        <v>0</v>
      </c>
      <c r="B51" s="8" t="str">
        <f t="shared" si="5"/>
        <v>0.00</v>
      </c>
      <c r="C51" s="29" t="str">
        <f>IF(COUNTIFS(Budget_items[Subheaders],'Data entry'!A51)&lt;10,".0"&amp;COUNTIFS(Budget_items[Subheaders],'Data entry'!A51),"."&amp;COUNTIFS(Budget_items[Subheaders],'Data entry'!A51))</f>
        <v>.00</v>
      </c>
    </row>
    <row r="52" spans="1:3" x14ac:dyDescent="0.3">
      <c r="A52" s="7">
        <f t="shared" si="6"/>
        <v>0</v>
      </c>
      <c r="B52" s="8" t="str">
        <f t="shared" si="5"/>
        <v>0.00</v>
      </c>
      <c r="C52" s="29" t="str">
        <f>IF(COUNTIFS(Budget_items[Subheaders],'Data entry'!A52)&lt;10,".0"&amp;COUNTIFS(Budget_items[Subheaders],'Data entry'!A52),"."&amp;COUNTIFS(Budget_items[Subheaders],'Data entry'!A52))</f>
        <v>.00</v>
      </c>
    </row>
    <row r="53" spans="1:3" x14ac:dyDescent="0.3">
      <c r="A53" s="7">
        <f t="shared" si="6"/>
        <v>0</v>
      </c>
      <c r="B53" s="8" t="str">
        <f t="shared" si="5"/>
        <v>0.00</v>
      </c>
      <c r="C53" s="29" t="str">
        <f>IF(COUNTIFS(Budget_items[Subheaders],'Data entry'!A53)&lt;10,".0"&amp;COUNTIFS(Budget_items[Subheaders],'Data entry'!A53),"."&amp;COUNTIFS(Budget_items[Subheaders],'Data entry'!A53))</f>
        <v>.00</v>
      </c>
    </row>
    <row r="54" spans="1:3" x14ac:dyDescent="0.3">
      <c r="A54" s="7">
        <f t="shared" si="6"/>
        <v>0</v>
      </c>
      <c r="B54" s="8" t="str">
        <f t="shared" si="5"/>
        <v>0.00</v>
      </c>
      <c r="C54" s="29" t="str">
        <f>IF(COUNTIFS(Budget_items[Subheaders],'Data entry'!A54)&lt;10,".0"&amp;COUNTIFS(Budget_items[Subheaders],'Data entry'!A54),"."&amp;COUNTIFS(Budget_items[Subheaders],'Data entry'!A54))</f>
        <v>.00</v>
      </c>
    </row>
    <row r="55" spans="1:3" x14ac:dyDescent="0.3">
      <c r="A55" s="7">
        <f t="shared" si="6"/>
        <v>0</v>
      </c>
      <c r="B55" s="8" t="str">
        <f t="shared" si="5"/>
        <v>0.00</v>
      </c>
      <c r="C55" s="29" t="str">
        <f>IF(COUNTIFS(Budget_items[Subheaders],'Data entry'!A55)&lt;10,".0"&amp;COUNTIFS(Budget_items[Subheaders],'Data entry'!A55),"."&amp;COUNTIFS(Budget_items[Subheaders],'Data entry'!A55))</f>
        <v>.00</v>
      </c>
    </row>
    <row r="56" spans="1:3" x14ac:dyDescent="0.3">
      <c r="A56" s="7">
        <f t="shared" si="6"/>
        <v>0</v>
      </c>
      <c r="B56" s="8" t="str">
        <f t="shared" si="5"/>
        <v>0.00</v>
      </c>
      <c r="C56" s="29" t="str">
        <f>IF(COUNTIFS(Budget_items[Subheaders],'Data entry'!A56)&lt;10,".0"&amp;COUNTIFS(Budget_items[Subheaders],'Data entry'!A56),"."&amp;COUNTIFS(Budget_items[Subheaders],'Data entry'!A56))</f>
        <v>.00</v>
      </c>
    </row>
    <row r="57" spans="1:3" x14ac:dyDescent="0.3">
      <c r="A57" s="7">
        <f t="shared" si="6"/>
        <v>0</v>
      </c>
      <c r="B57" s="8" t="str">
        <f t="shared" si="5"/>
        <v>0.00</v>
      </c>
      <c r="C57" s="29" t="str">
        <f>IF(COUNTIFS(Budget_items[Subheaders],'Data entry'!A57)&lt;10,".0"&amp;COUNTIFS(Budget_items[Subheaders],'Data entry'!A57),"."&amp;COUNTIFS(Budget_items[Subheaders],'Data entry'!A57))</f>
        <v>.00</v>
      </c>
    </row>
    <row r="58" spans="1:3" x14ac:dyDescent="0.3">
      <c r="A58" s="7">
        <f t="shared" si="6"/>
        <v>0</v>
      </c>
      <c r="B58" s="8" t="str">
        <f t="shared" si="5"/>
        <v>0.00</v>
      </c>
      <c r="C58" s="29" t="str">
        <f>IF(COUNTIFS(Budget_items[Subheaders],'Data entry'!A58)&lt;10,".0"&amp;COUNTIFS(Budget_items[Subheaders],'Data entry'!A58),"."&amp;COUNTIFS(Budget_items[Subheaders],'Data entry'!A58))</f>
        <v>.00</v>
      </c>
    </row>
    <row r="59" spans="1:3" x14ac:dyDescent="0.3">
      <c r="A59" s="7">
        <f t="shared" si="6"/>
        <v>0</v>
      </c>
      <c r="B59" s="8" t="str">
        <f t="shared" si="5"/>
        <v>0.00</v>
      </c>
      <c r="C59" s="29" t="str">
        <f>IF(COUNTIFS(Budget_items[Subheaders],'Data entry'!A59)&lt;10,".0"&amp;COUNTIFS(Budget_items[Subheaders],'Data entry'!A59),"."&amp;COUNTIFS(Budget_items[Subheaders],'Data entry'!A59))</f>
        <v>.00</v>
      </c>
    </row>
    <row r="60" spans="1:3" x14ac:dyDescent="0.3">
      <c r="A60" s="7">
        <f t="shared" si="6"/>
        <v>0</v>
      </c>
      <c r="B60" s="8" t="str">
        <f t="shared" si="5"/>
        <v>0.00</v>
      </c>
      <c r="C60" s="29" t="str">
        <f>IF(COUNTIFS(Budget_items[Subheaders],'Data entry'!A60)&lt;10,".0"&amp;COUNTIFS(Budget_items[Subheaders],'Data entry'!A60),"."&amp;COUNTIFS(Budget_items[Subheaders],'Data entry'!A60))</f>
        <v>.00</v>
      </c>
    </row>
    <row r="61" spans="1:3" x14ac:dyDescent="0.3">
      <c r="A61" s="7">
        <f t="shared" si="6"/>
        <v>0</v>
      </c>
      <c r="B61" s="8" t="str">
        <f t="shared" si="5"/>
        <v>0.00</v>
      </c>
      <c r="C61" s="29" t="str">
        <f>IF(COUNTIFS(Budget_items[Subheaders],'Data entry'!A61)&lt;10,".0"&amp;COUNTIFS(Budget_items[Subheaders],'Data entry'!A61),"."&amp;COUNTIFS(Budget_items[Subheaders],'Data entry'!A61))</f>
        <v>.00</v>
      </c>
    </row>
    <row r="62" spans="1:3" x14ac:dyDescent="0.3">
      <c r="A62" s="7">
        <f t="shared" si="6"/>
        <v>0</v>
      </c>
      <c r="B62" s="8" t="str">
        <f t="shared" si="5"/>
        <v>0.00</v>
      </c>
      <c r="C62" s="29" t="str">
        <f>IF(COUNTIFS(Budget_items[Subheaders],'Data entry'!A62)&lt;10,".0"&amp;COUNTIFS(Budget_items[Subheaders],'Data entry'!A62),"."&amp;COUNTIFS(Budget_items[Subheaders],'Data entry'!A62))</f>
        <v>.00</v>
      </c>
    </row>
    <row r="63" spans="1:3" x14ac:dyDescent="0.3">
      <c r="A63" s="7">
        <f t="shared" si="6"/>
        <v>0</v>
      </c>
      <c r="B63" s="8" t="str">
        <f t="shared" si="5"/>
        <v>0.00</v>
      </c>
      <c r="C63" s="29" t="str">
        <f>IF(COUNTIFS(Budget_items[Subheaders],'Data entry'!A63)&lt;10,".0"&amp;COUNTIFS(Budget_items[Subheaders],'Data entry'!A63),"."&amp;COUNTIFS(Budget_items[Subheaders],'Data entry'!A63))</f>
        <v>.00</v>
      </c>
    </row>
    <row r="64" spans="1:3" x14ac:dyDescent="0.3">
      <c r="A64" s="7">
        <f t="shared" si="6"/>
        <v>0</v>
      </c>
      <c r="B64" s="8" t="str">
        <f t="shared" si="5"/>
        <v>0.00</v>
      </c>
      <c r="C64" s="29" t="str">
        <f>IF(COUNTIFS(Budget_items[Subheaders],'Data entry'!A64)&lt;10,".0"&amp;COUNTIFS(Budget_items[Subheaders],'Data entry'!A64),"."&amp;COUNTIFS(Budget_items[Subheaders],'Data entry'!A64))</f>
        <v>.00</v>
      </c>
    </row>
    <row r="65" spans="1:3" x14ac:dyDescent="0.3">
      <c r="A65" s="7">
        <f t="shared" si="6"/>
        <v>0</v>
      </c>
      <c r="B65" s="8" t="str">
        <f t="shared" si="5"/>
        <v>0.00</v>
      </c>
      <c r="C65" s="29" t="str">
        <f>IF(COUNTIFS(Budget_items[Subheaders],'Data entry'!A65)&lt;10,".0"&amp;COUNTIFS(Budget_items[Subheaders],'Data entry'!A65),"."&amp;COUNTIFS(Budget_items[Subheaders],'Data entry'!A65))</f>
        <v>.00</v>
      </c>
    </row>
    <row r="66" spans="1:3" x14ac:dyDescent="0.3">
      <c r="A66" s="7">
        <f t="shared" si="6"/>
        <v>0</v>
      </c>
      <c r="B66" s="8" t="str">
        <f t="shared" si="5"/>
        <v>0.00</v>
      </c>
      <c r="C66" s="29" t="str">
        <f>IF(COUNTIFS(Budget_items[Subheaders],'Data entry'!A66)&lt;10,".0"&amp;COUNTIFS(Budget_items[Subheaders],'Data entry'!A66),"."&amp;COUNTIFS(Budget_items[Subheaders],'Data entry'!A66))</f>
        <v>.00</v>
      </c>
    </row>
    <row r="67" spans="1:3" x14ac:dyDescent="0.3">
      <c r="A67" s="7">
        <f t="shared" si="6"/>
        <v>0</v>
      </c>
      <c r="B67" s="8" t="str">
        <f t="shared" ref="B67:B130" si="7">LEFT(A67,4)&amp;C67</f>
        <v>0.00</v>
      </c>
      <c r="C67" s="29" t="str">
        <f>IF(COUNTIFS(Budget_items[Subheaders],'Data entry'!A67)&lt;10,".0"&amp;COUNTIFS(Budget_items[Subheaders],'Data entry'!A67),"."&amp;COUNTIFS(Budget_items[Subheaders],'Data entry'!A67))</f>
        <v>.00</v>
      </c>
    </row>
    <row r="68" spans="1:3" x14ac:dyDescent="0.3">
      <c r="A68" s="7">
        <f t="shared" si="6"/>
        <v>0</v>
      </c>
      <c r="B68" s="8" t="str">
        <f t="shared" si="7"/>
        <v>0.00</v>
      </c>
      <c r="C68" s="29" t="str">
        <f>IF(COUNTIFS(Budget_items[Subheaders],'Data entry'!A68)&lt;10,".0"&amp;COUNTIFS(Budget_items[Subheaders],'Data entry'!A68),"."&amp;COUNTIFS(Budget_items[Subheaders],'Data entry'!A68))</f>
        <v>.00</v>
      </c>
    </row>
    <row r="69" spans="1:3" x14ac:dyDescent="0.3">
      <c r="A69" s="7">
        <f t="shared" si="6"/>
        <v>0</v>
      </c>
      <c r="B69" s="8" t="str">
        <f t="shared" si="7"/>
        <v>0.00</v>
      </c>
      <c r="C69" s="29" t="str">
        <f>IF(COUNTIFS(Budget_items[Subheaders],'Data entry'!A69)&lt;10,".0"&amp;COUNTIFS(Budget_items[Subheaders],'Data entry'!A69),"."&amp;COUNTIFS(Budget_items[Subheaders],'Data entry'!A69))</f>
        <v>.00</v>
      </c>
    </row>
    <row r="70" spans="1:3" x14ac:dyDescent="0.3">
      <c r="A70" s="7">
        <f t="shared" si="6"/>
        <v>0</v>
      </c>
      <c r="B70" s="8" t="str">
        <f t="shared" si="7"/>
        <v>0.00</v>
      </c>
      <c r="C70" s="29" t="str">
        <f>IF(COUNTIFS(Budget_items[Subheaders],'Data entry'!A70)&lt;10,".0"&amp;COUNTIFS(Budget_items[Subheaders],'Data entry'!A70),"."&amp;COUNTIFS(Budget_items[Subheaders],'Data entry'!A70))</f>
        <v>.00</v>
      </c>
    </row>
    <row r="71" spans="1:3" x14ac:dyDescent="0.3">
      <c r="A71" s="7">
        <f t="shared" si="6"/>
        <v>0</v>
      </c>
      <c r="B71" s="8" t="str">
        <f t="shared" si="7"/>
        <v>0.00</v>
      </c>
      <c r="C71" s="29" t="str">
        <f>IF(COUNTIFS(Budget_items[Subheaders],'Data entry'!A71)&lt;10,".0"&amp;COUNTIFS(Budget_items[Subheaders],'Data entry'!A71),"."&amp;COUNTIFS(Budget_items[Subheaders],'Data entry'!A71))</f>
        <v>.00</v>
      </c>
    </row>
    <row r="72" spans="1:3" x14ac:dyDescent="0.3">
      <c r="A72" s="7">
        <f t="shared" si="6"/>
        <v>0</v>
      </c>
      <c r="B72" s="8" t="str">
        <f t="shared" si="7"/>
        <v>0.00</v>
      </c>
      <c r="C72" s="29" t="str">
        <f>IF(COUNTIFS(Budget_items[Subheaders],'Data entry'!A72)&lt;10,".0"&amp;COUNTIFS(Budget_items[Subheaders],'Data entry'!A72),"."&amp;COUNTIFS(Budget_items[Subheaders],'Data entry'!A72))</f>
        <v>.00</v>
      </c>
    </row>
    <row r="73" spans="1:3" x14ac:dyDescent="0.3">
      <c r="A73" s="7">
        <f t="shared" si="6"/>
        <v>0</v>
      </c>
      <c r="B73" s="8" t="str">
        <f t="shared" si="7"/>
        <v>0.00</v>
      </c>
      <c r="C73" s="29" t="str">
        <f>IF(COUNTIFS(Budget_items[Subheaders],'Data entry'!A73)&lt;10,".0"&amp;COUNTIFS(Budget_items[Subheaders],'Data entry'!A73),"."&amp;COUNTIFS(Budget_items[Subheaders],'Data entry'!A73))</f>
        <v>.00</v>
      </c>
    </row>
    <row r="74" spans="1:3" x14ac:dyDescent="0.3">
      <c r="A74" s="7">
        <f t="shared" si="6"/>
        <v>0</v>
      </c>
      <c r="B74" s="8" t="str">
        <f t="shared" si="7"/>
        <v>0.00</v>
      </c>
      <c r="C74" s="29" t="str">
        <f>IF(COUNTIFS(Budget_items[Subheaders],'Data entry'!A74)&lt;10,".0"&amp;COUNTIFS(Budget_items[Subheaders],'Data entry'!A74),"."&amp;COUNTIFS(Budget_items[Subheaders],'Data entry'!A74))</f>
        <v>.00</v>
      </c>
    </row>
    <row r="75" spans="1:3" x14ac:dyDescent="0.3">
      <c r="A75" s="7">
        <f t="shared" si="6"/>
        <v>0</v>
      </c>
      <c r="B75" s="8" t="str">
        <f t="shared" si="7"/>
        <v>0.00</v>
      </c>
      <c r="C75" s="29" t="str">
        <f>IF(COUNTIFS(Budget_items[Subheaders],'Data entry'!A75)&lt;10,".0"&amp;COUNTIFS(Budget_items[Subheaders],'Data entry'!A75),"."&amp;COUNTIFS(Budget_items[Subheaders],'Data entry'!A75))</f>
        <v>.00</v>
      </c>
    </row>
    <row r="76" spans="1:3" x14ac:dyDescent="0.3">
      <c r="A76" s="7">
        <f t="shared" si="6"/>
        <v>0</v>
      </c>
      <c r="B76" s="8" t="str">
        <f t="shared" si="7"/>
        <v>0.00</v>
      </c>
      <c r="C76" s="29" t="str">
        <f>IF(COUNTIFS(Budget_items[Subheaders],'Data entry'!A76)&lt;10,".0"&amp;COUNTIFS(Budget_items[Subheaders],'Data entry'!A76),"."&amp;COUNTIFS(Budget_items[Subheaders],'Data entry'!A76))</f>
        <v>.00</v>
      </c>
    </row>
    <row r="77" spans="1:3" x14ac:dyDescent="0.3">
      <c r="A77" s="7">
        <f t="shared" si="6"/>
        <v>0</v>
      </c>
      <c r="B77" s="8" t="str">
        <f t="shared" si="7"/>
        <v>0.00</v>
      </c>
      <c r="C77" s="29" t="str">
        <f>IF(COUNTIFS(Budget_items[Subheaders],'Data entry'!A77)&lt;10,".0"&amp;COUNTIFS(Budget_items[Subheaders],'Data entry'!A77),"."&amp;COUNTIFS(Budget_items[Subheaders],'Data entry'!A77))</f>
        <v>.00</v>
      </c>
    </row>
    <row r="78" spans="1:3" x14ac:dyDescent="0.3">
      <c r="A78" s="7">
        <f t="shared" si="6"/>
        <v>0</v>
      </c>
      <c r="B78" s="8" t="str">
        <f t="shared" si="7"/>
        <v>0.00</v>
      </c>
      <c r="C78" s="29" t="str">
        <f>IF(COUNTIFS(Budget_items[Subheaders],'Data entry'!A78)&lt;10,".0"&amp;COUNTIFS(Budget_items[Subheaders],'Data entry'!A78),"."&amp;COUNTIFS(Budget_items[Subheaders],'Data entry'!A78))</f>
        <v>.00</v>
      </c>
    </row>
    <row r="79" spans="1:3" x14ac:dyDescent="0.3">
      <c r="A79" s="7">
        <f t="shared" si="6"/>
        <v>0</v>
      </c>
      <c r="B79" s="8" t="str">
        <f t="shared" si="7"/>
        <v>0.00</v>
      </c>
      <c r="C79" s="29" t="str">
        <f>IF(COUNTIFS(Budget_items[Subheaders],'Data entry'!A79)&lt;10,".0"&amp;COUNTIFS(Budget_items[Subheaders],'Data entry'!A79),"."&amp;COUNTIFS(Budget_items[Subheaders],'Data entry'!A79))</f>
        <v>.00</v>
      </c>
    </row>
    <row r="80" spans="1:3" x14ac:dyDescent="0.3">
      <c r="A80" s="7">
        <f t="shared" si="6"/>
        <v>0</v>
      </c>
      <c r="B80" s="8" t="str">
        <f t="shared" si="7"/>
        <v>0.00</v>
      </c>
      <c r="C80" s="29" t="str">
        <f>IF(COUNTIFS(Budget_items[Subheaders],'Data entry'!A80)&lt;10,".0"&amp;COUNTIFS(Budget_items[Subheaders],'Data entry'!A80),"."&amp;COUNTIFS(Budget_items[Subheaders],'Data entry'!A80))</f>
        <v>.00</v>
      </c>
    </row>
    <row r="81" spans="1:3" x14ac:dyDescent="0.3">
      <c r="A81" s="7">
        <f t="shared" si="6"/>
        <v>0</v>
      </c>
      <c r="B81" s="8" t="str">
        <f t="shared" si="7"/>
        <v>0.00</v>
      </c>
      <c r="C81" s="29" t="str">
        <f>IF(COUNTIFS(Budget_items[Subheaders],'Data entry'!A81)&lt;10,".0"&amp;COUNTIFS(Budget_items[Subheaders],'Data entry'!A81),"."&amp;COUNTIFS(Budget_items[Subheaders],'Data entry'!A81))</f>
        <v>.00</v>
      </c>
    </row>
    <row r="82" spans="1:3" x14ac:dyDescent="0.3">
      <c r="A82" s="7">
        <f t="shared" si="6"/>
        <v>0</v>
      </c>
      <c r="B82" s="8" t="str">
        <f t="shared" si="7"/>
        <v>0.00</v>
      </c>
      <c r="C82" s="29" t="str">
        <f>IF(COUNTIFS(Budget_items[Subheaders],'Data entry'!A82)&lt;10,".0"&amp;COUNTIFS(Budget_items[Subheaders],'Data entry'!A82),"."&amp;COUNTIFS(Budget_items[Subheaders],'Data entry'!A82))</f>
        <v>.00</v>
      </c>
    </row>
    <row r="83" spans="1:3" x14ac:dyDescent="0.3">
      <c r="A83" s="7">
        <f t="shared" si="6"/>
        <v>0</v>
      </c>
      <c r="B83" s="8" t="str">
        <f t="shared" si="7"/>
        <v>0.00</v>
      </c>
      <c r="C83" s="29" t="str">
        <f>IF(COUNTIFS(Budget_items[Subheaders],'Data entry'!A83)&lt;10,".0"&amp;COUNTIFS(Budget_items[Subheaders],'Data entry'!A83),"."&amp;COUNTIFS(Budget_items[Subheaders],'Data entry'!A83))</f>
        <v>.00</v>
      </c>
    </row>
    <row r="84" spans="1:3" x14ac:dyDescent="0.3">
      <c r="A84" s="7">
        <f t="shared" si="6"/>
        <v>0</v>
      </c>
      <c r="B84" s="8" t="str">
        <f t="shared" si="7"/>
        <v>0.00</v>
      </c>
      <c r="C84" s="29" t="str">
        <f>IF(COUNTIFS(Budget_items[Subheaders],'Data entry'!A84)&lt;10,".0"&amp;COUNTIFS(Budget_items[Subheaders],'Data entry'!A84),"."&amp;COUNTIFS(Budget_items[Subheaders],'Data entry'!A84))</f>
        <v>.00</v>
      </c>
    </row>
    <row r="85" spans="1:3" x14ac:dyDescent="0.3">
      <c r="A85" s="7">
        <f t="shared" si="6"/>
        <v>0</v>
      </c>
      <c r="B85" s="8" t="str">
        <f t="shared" si="7"/>
        <v>0.00</v>
      </c>
      <c r="C85" s="29" t="str">
        <f>IF(COUNTIFS(Budget_items[Subheaders],'Data entry'!A85)&lt;10,".0"&amp;COUNTIFS(Budget_items[Subheaders],'Data entry'!A85),"."&amp;COUNTIFS(Budget_items[Subheaders],'Data entry'!A85))</f>
        <v>.00</v>
      </c>
    </row>
    <row r="86" spans="1:3" x14ac:dyDescent="0.3">
      <c r="A86" s="7">
        <f t="shared" si="6"/>
        <v>0</v>
      </c>
      <c r="B86" s="8" t="str">
        <f t="shared" si="7"/>
        <v>0.00</v>
      </c>
      <c r="C86" s="29" t="str">
        <f>IF(COUNTIFS(Budget_items[Subheaders],'Data entry'!A86)&lt;10,".0"&amp;COUNTIFS(Budget_items[Subheaders],'Data entry'!A86),"."&amp;COUNTIFS(Budget_items[Subheaders],'Data entry'!A86))</f>
        <v>.00</v>
      </c>
    </row>
    <row r="87" spans="1:3" x14ac:dyDescent="0.3">
      <c r="A87" s="7">
        <f t="shared" si="6"/>
        <v>0</v>
      </c>
      <c r="B87" s="8" t="str">
        <f t="shared" si="7"/>
        <v>0.00</v>
      </c>
      <c r="C87" s="29" t="str">
        <f>IF(COUNTIFS(Budget_items[Subheaders],'Data entry'!A87)&lt;10,".0"&amp;COUNTIFS(Budget_items[Subheaders],'Data entry'!A87),"."&amp;COUNTIFS(Budget_items[Subheaders],'Data entry'!A87))</f>
        <v>.00</v>
      </c>
    </row>
    <row r="88" spans="1:3" x14ac:dyDescent="0.3">
      <c r="A88" s="7">
        <f t="shared" si="6"/>
        <v>0</v>
      </c>
      <c r="B88" s="8" t="str">
        <f t="shared" si="7"/>
        <v>0.00</v>
      </c>
      <c r="C88" s="29" t="str">
        <f>IF(COUNTIFS(Budget_items[Subheaders],'Data entry'!A88)&lt;10,".0"&amp;COUNTIFS(Budget_items[Subheaders],'Data entry'!A88),"."&amp;COUNTIFS(Budget_items[Subheaders],'Data entry'!A88))</f>
        <v>.00</v>
      </c>
    </row>
    <row r="89" spans="1:3" x14ac:dyDescent="0.3">
      <c r="A89" s="7">
        <f t="shared" si="6"/>
        <v>0</v>
      </c>
      <c r="B89" s="8" t="str">
        <f t="shared" si="7"/>
        <v>0.00</v>
      </c>
      <c r="C89" s="29" t="str">
        <f>IF(COUNTIFS(Budget_items[Subheaders],'Data entry'!A89)&lt;10,".0"&amp;COUNTIFS(Budget_items[Subheaders],'Data entry'!A89),"."&amp;COUNTIFS(Budget_items[Subheaders],'Data entry'!A89))</f>
        <v>.00</v>
      </c>
    </row>
    <row r="90" spans="1:3" x14ac:dyDescent="0.3">
      <c r="A90" s="7">
        <f t="shared" ref="A90:A153" si="8">P92</f>
        <v>0</v>
      </c>
      <c r="B90" s="8" t="str">
        <f t="shared" si="7"/>
        <v>0.00</v>
      </c>
      <c r="C90" s="29" t="str">
        <f>IF(COUNTIFS(Budget_items[Subheaders],'Data entry'!A90)&lt;10,".0"&amp;COUNTIFS(Budget_items[Subheaders],'Data entry'!A90),"."&amp;COUNTIFS(Budget_items[Subheaders],'Data entry'!A90))</f>
        <v>.00</v>
      </c>
    </row>
    <row r="91" spans="1:3" x14ac:dyDescent="0.3">
      <c r="A91" s="7">
        <f t="shared" si="8"/>
        <v>0</v>
      </c>
      <c r="B91" s="8" t="str">
        <f t="shared" si="7"/>
        <v>0.00</v>
      </c>
      <c r="C91" s="29" t="str">
        <f>IF(COUNTIFS(Budget_items[Subheaders],'Data entry'!A91)&lt;10,".0"&amp;COUNTIFS(Budget_items[Subheaders],'Data entry'!A91),"."&amp;COUNTIFS(Budget_items[Subheaders],'Data entry'!A91))</f>
        <v>.00</v>
      </c>
    </row>
    <row r="92" spans="1:3" x14ac:dyDescent="0.3">
      <c r="A92" s="7">
        <f t="shared" si="8"/>
        <v>0</v>
      </c>
      <c r="B92" s="8" t="str">
        <f t="shared" si="7"/>
        <v>0.00</v>
      </c>
      <c r="C92" s="29" t="str">
        <f>IF(COUNTIFS(Budget_items[Subheaders],'Data entry'!A92)&lt;10,".0"&amp;COUNTIFS(Budget_items[Subheaders],'Data entry'!A92),"."&amp;COUNTIFS(Budget_items[Subheaders],'Data entry'!A92))</f>
        <v>.00</v>
      </c>
    </row>
    <row r="93" spans="1:3" x14ac:dyDescent="0.3">
      <c r="A93" s="7">
        <f t="shared" si="8"/>
        <v>0</v>
      </c>
      <c r="B93" s="8" t="str">
        <f t="shared" si="7"/>
        <v>0.00</v>
      </c>
      <c r="C93" s="29" t="str">
        <f>IF(COUNTIFS(Budget_items[Subheaders],'Data entry'!A93)&lt;10,".0"&amp;COUNTIFS(Budget_items[Subheaders],'Data entry'!A93),"."&amp;COUNTIFS(Budget_items[Subheaders],'Data entry'!A93))</f>
        <v>.00</v>
      </c>
    </row>
    <row r="94" spans="1:3" x14ac:dyDescent="0.3">
      <c r="A94" s="7">
        <f t="shared" si="8"/>
        <v>0</v>
      </c>
      <c r="B94" s="8" t="str">
        <f t="shared" si="7"/>
        <v>0.00</v>
      </c>
      <c r="C94" s="29" t="str">
        <f>IF(COUNTIFS(Budget_items[Subheaders],'Data entry'!A94)&lt;10,".0"&amp;COUNTIFS(Budget_items[Subheaders],'Data entry'!A94),"."&amp;COUNTIFS(Budget_items[Subheaders],'Data entry'!A94))</f>
        <v>.00</v>
      </c>
    </row>
    <row r="95" spans="1:3" x14ac:dyDescent="0.3">
      <c r="A95" s="7">
        <f t="shared" si="8"/>
        <v>0</v>
      </c>
      <c r="B95" s="8" t="str">
        <f t="shared" si="7"/>
        <v>0.00</v>
      </c>
      <c r="C95" s="29" t="str">
        <f>IF(COUNTIFS(Budget_items[Subheaders],'Data entry'!A95)&lt;10,".0"&amp;COUNTIFS(Budget_items[Subheaders],'Data entry'!A95),"."&amp;COUNTIFS(Budget_items[Subheaders],'Data entry'!A95))</f>
        <v>.00</v>
      </c>
    </row>
    <row r="96" spans="1:3" x14ac:dyDescent="0.3">
      <c r="A96" s="7">
        <f t="shared" si="8"/>
        <v>0</v>
      </c>
      <c r="B96" s="8" t="str">
        <f t="shared" si="7"/>
        <v>0.00</v>
      </c>
      <c r="C96" s="29" t="str">
        <f>IF(COUNTIFS(Budget_items[Subheaders],'Data entry'!A96)&lt;10,".0"&amp;COUNTIFS(Budget_items[Subheaders],'Data entry'!A96),"."&amp;COUNTIFS(Budget_items[Subheaders],'Data entry'!A96))</f>
        <v>.00</v>
      </c>
    </row>
    <row r="97" spans="1:3" x14ac:dyDescent="0.3">
      <c r="A97" s="7">
        <f t="shared" si="8"/>
        <v>0</v>
      </c>
      <c r="B97" s="8" t="str">
        <f t="shared" si="7"/>
        <v>0.00</v>
      </c>
      <c r="C97" s="29" t="str">
        <f>IF(COUNTIFS(Budget_items[Subheaders],'Data entry'!A97)&lt;10,".0"&amp;COUNTIFS(Budget_items[Subheaders],'Data entry'!A97),"."&amp;COUNTIFS(Budget_items[Subheaders],'Data entry'!A97))</f>
        <v>.00</v>
      </c>
    </row>
    <row r="98" spans="1:3" x14ac:dyDescent="0.3">
      <c r="A98" s="7">
        <f t="shared" si="8"/>
        <v>0</v>
      </c>
      <c r="B98" s="8" t="str">
        <f t="shared" si="7"/>
        <v>0.00</v>
      </c>
      <c r="C98" s="29" t="str">
        <f>IF(COUNTIFS(Budget_items[Subheaders],'Data entry'!A98)&lt;10,".0"&amp;COUNTIFS(Budget_items[Subheaders],'Data entry'!A98),"."&amp;COUNTIFS(Budget_items[Subheaders],'Data entry'!A98))</f>
        <v>.00</v>
      </c>
    </row>
    <row r="99" spans="1:3" x14ac:dyDescent="0.3">
      <c r="A99" s="7">
        <f t="shared" si="8"/>
        <v>0</v>
      </c>
      <c r="B99" s="8" t="str">
        <f t="shared" si="7"/>
        <v>0.00</v>
      </c>
      <c r="C99" s="29" t="str">
        <f>IF(COUNTIFS(Budget_items[Subheaders],'Data entry'!A99)&lt;10,".0"&amp;COUNTIFS(Budget_items[Subheaders],'Data entry'!A99),"."&amp;COUNTIFS(Budget_items[Subheaders],'Data entry'!A99))</f>
        <v>.00</v>
      </c>
    </row>
    <row r="100" spans="1:3" x14ac:dyDescent="0.3">
      <c r="A100" s="7">
        <f t="shared" si="8"/>
        <v>0</v>
      </c>
      <c r="B100" s="8" t="str">
        <f t="shared" si="7"/>
        <v>0.00</v>
      </c>
      <c r="C100" s="29" t="str">
        <f>IF(COUNTIFS(Budget_items[Subheaders],'Data entry'!A100)&lt;10,".0"&amp;COUNTIFS(Budget_items[Subheaders],'Data entry'!A100),"."&amp;COUNTIFS(Budget_items[Subheaders],'Data entry'!A100))</f>
        <v>.00</v>
      </c>
    </row>
    <row r="101" spans="1:3" x14ac:dyDescent="0.3">
      <c r="A101" s="7">
        <f t="shared" si="8"/>
        <v>0</v>
      </c>
      <c r="B101" s="8" t="str">
        <f t="shared" si="7"/>
        <v>0.00</v>
      </c>
      <c r="C101" s="29" t="str">
        <f>IF(COUNTIFS(Budget_items[Subheaders],'Data entry'!A101)&lt;10,".0"&amp;COUNTIFS(Budget_items[Subheaders],'Data entry'!A101),"."&amp;COUNTIFS(Budget_items[Subheaders],'Data entry'!A101))</f>
        <v>.00</v>
      </c>
    </row>
    <row r="102" spans="1:3" x14ac:dyDescent="0.3">
      <c r="A102" s="7">
        <f t="shared" si="8"/>
        <v>0</v>
      </c>
      <c r="B102" s="8" t="str">
        <f t="shared" si="7"/>
        <v>0.00</v>
      </c>
      <c r="C102" s="29" t="str">
        <f>IF(COUNTIFS(Budget_items[Subheaders],'Data entry'!A102)&lt;10,".0"&amp;COUNTIFS(Budget_items[Subheaders],'Data entry'!A102),"."&amp;COUNTIFS(Budget_items[Subheaders],'Data entry'!A102))</f>
        <v>.00</v>
      </c>
    </row>
    <row r="103" spans="1:3" x14ac:dyDescent="0.3">
      <c r="A103" s="7">
        <f t="shared" si="8"/>
        <v>0</v>
      </c>
      <c r="B103" s="8" t="str">
        <f t="shared" si="7"/>
        <v>0.00</v>
      </c>
      <c r="C103" s="29" t="str">
        <f>IF(COUNTIFS(Budget_items[Subheaders],'Data entry'!A103)&lt;10,".0"&amp;COUNTIFS(Budget_items[Subheaders],'Data entry'!A103),"."&amp;COUNTIFS(Budget_items[Subheaders],'Data entry'!A103))</f>
        <v>.00</v>
      </c>
    </row>
    <row r="104" spans="1:3" x14ac:dyDescent="0.3">
      <c r="A104" s="7">
        <f t="shared" si="8"/>
        <v>0</v>
      </c>
      <c r="B104" s="8" t="str">
        <f t="shared" si="7"/>
        <v>0.00</v>
      </c>
      <c r="C104" s="29" t="str">
        <f>IF(COUNTIFS(Budget_items[Subheaders],'Data entry'!A104)&lt;10,".0"&amp;COUNTIFS(Budget_items[Subheaders],'Data entry'!A104),"."&amp;COUNTIFS(Budget_items[Subheaders],'Data entry'!A104))</f>
        <v>.00</v>
      </c>
    </row>
    <row r="105" spans="1:3" x14ac:dyDescent="0.3">
      <c r="A105" s="7">
        <f t="shared" si="8"/>
        <v>0</v>
      </c>
      <c r="B105" s="8" t="str">
        <f t="shared" si="7"/>
        <v>0.00</v>
      </c>
      <c r="C105" s="29" t="str">
        <f>IF(COUNTIFS(Budget_items[Subheaders],'Data entry'!A105)&lt;10,".0"&amp;COUNTIFS(Budget_items[Subheaders],'Data entry'!A105),"."&amp;COUNTIFS(Budget_items[Subheaders],'Data entry'!A105))</f>
        <v>.00</v>
      </c>
    </row>
    <row r="106" spans="1:3" x14ac:dyDescent="0.3">
      <c r="A106" s="7">
        <f t="shared" si="8"/>
        <v>0</v>
      </c>
      <c r="B106" s="8" t="str">
        <f t="shared" si="7"/>
        <v>0.00</v>
      </c>
      <c r="C106" s="29" t="str">
        <f>IF(COUNTIFS(Budget_items[Subheaders],'Data entry'!A106)&lt;10,".0"&amp;COUNTIFS(Budget_items[Subheaders],'Data entry'!A106),"."&amp;COUNTIFS(Budget_items[Subheaders],'Data entry'!A106))</f>
        <v>.00</v>
      </c>
    </row>
    <row r="107" spans="1:3" x14ac:dyDescent="0.3">
      <c r="A107" s="7">
        <f t="shared" si="8"/>
        <v>0</v>
      </c>
      <c r="B107" s="8" t="str">
        <f t="shared" si="7"/>
        <v>0.00</v>
      </c>
      <c r="C107" s="29" t="str">
        <f>IF(COUNTIFS(Budget_items[Subheaders],'Data entry'!A107)&lt;10,".0"&amp;COUNTIFS(Budget_items[Subheaders],'Data entry'!A107),"."&amp;COUNTIFS(Budget_items[Subheaders],'Data entry'!A107))</f>
        <v>.00</v>
      </c>
    </row>
    <row r="108" spans="1:3" x14ac:dyDescent="0.3">
      <c r="A108" s="7">
        <f t="shared" si="8"/>
        <v>0</v>
      </c>
      <c r="B108" s="8" t="str">
        <f t="shared" si="7"/>
        <v>0.00</v>
      </c>
      <c r="C108" s="29" t="str">
        <f>IF(COUNTIFS(Budget_items[Subheaders],'Data entry'!A108)&lt;10,".0"&amp;COUNTIFS(Budget_items[Subheaders],'Data entry'!A108),"."&amp;COUNTIFS(Budget_items[Subheaders],'Data entry'!A108))</f>
        <v>.00</v>
      </c>
    </row>
    <row r="109" spans="1:3" x14ac:dyDescent="0.3">
      <c r="A109" s="7">
        <f t="shared" si="8"/>
        <v>0</v>
      </c>
      <c r="B109" s="8" t="str">
        <f t="shared" si="7"/>
        <v>0.00</v>
      </c>
      <c r="C109" s="29" t="str">
        <f>IF(COUNTIFS(Budget_items[Subheaders],'Data entry'!A109)&lt;10,".0"&amp;COUNTIFS(Budget_items[Subheaders],'Data entry'!A109),"."&amp;COUNTIFS(Budget_items[Subheaders],'Data entry'!A109))</f>
        <v>.00</v>
      </c>
    </row>
    <row r="110" spans="1:3" x14ac:dyDescent="0.3">
      <c r="A110" s="7">
        <f t="shared" si="8"/>
        <v>0</v>
      </c>
      <c r="B110" s="8" t="str">
        <f t="shared" si="7"/>
        <v>0.00</v>
      </c>
      <c r="C110" s="29" t="str">
        <f>IF(COUNTIFS(Budget_items[Subheaders],'Data entry'!A110)&lt;10,".0"&amp;COUNTIFS(Budget_items[Subheaders],'Data entry'!A110),"."&amp;COUNTIFS(Budget_items[Subheaders],'Data entry'!A110))</f>
        <v>.00</v>
      </c>
    </row>
    <row r="111" spans="1:3" x14ac:dyDescent="0.3">
      <c r="A111" s="7">
        <f t="shared" si="8"/>
        <v>0</v>
      </c>
      <c r="B111" s="8" t="str">
        <f t="shared" si="7"/>
        <v>0.00</v>
      </c>
      <c r="C111" s="29" t="str">
        <f>IF(COUNTIFS(Budget_items[Subheaders],'Data entry'!A111)&lt;10,".0"&amp;COUNTIFS(Budget_items[Subheaders],'Data entry'!A111),"."&amp;COUNTIFS(Budget_items[Subheaders],'Data entry'!A111))</f>
        <v>.00</v>
      </c>
    </row>
    <row r="112" spans="1:3" x14ac:dyDescent="0.3">
      <c r="A112" s="7">
        <f t="shared" si="8"/>
        <v>0</v>
      </c>
      <c r="B112" s="8" t="str">
        <f t="shared" si="7"/>
        <v>0.00</v>
      </c>
      <c r="C112" s="29" t="str">
        <f>IF(COUNTIFS(Budget_items[Subheaders],'Data entry'!A112)&lt;10,".0"&amp;COUNTIFS(Budget_items[Subheaders],'Data entry'!A112),"."&amp;COUNTIFS(Budget_items[Subheaders],'Data entry'!A112))</f>
        <v>.00</v>
      </c>
    </row>
    <row r="113" spans="1:3" x14ac:dyDescent="0.3">
      <c r="A113" s="7">
        <f t="shared" si="8"/>
        <v>0</v>
      </c>
      <c r="B113" s="8" t="str">
        <f t="shared" si="7"/>
        <v>0.00</v>
      </c>
      <c r="C113" s="29" t="str">
        <f>IF(COUNTIFS(Budget_items[Subheaders],'Data entry'!A113)&lt;10,".0"&amp;COUNTIFS(Budget_items[Subheaders],'Data entry'!A113),"."&amp;COUNTIFS(Budget_items[Subheaders],'Data entry'!A113))</f>
        <v>.00</v>
      </c>
    </row>
    <row r="114" spans="1:3" x14ac:dyDescent="0.3">
      <c r="A114" s="7">
        <f t="shared" si="8"/>
        <v>0</v>
      </c>
      <c r="B114" s="8" t="str">
        <f t="shared" si="7"/>
        <v>0.00</v>
      </c>
      <c r="C114" s="29" t="str">
        <f>IF(COUNTIFS(Budget_items[Subheaders],'Data entry'!A114)&lt;10,".0"&amp;COUNTIFS(Budget_items[Subheaders],'Data entry'!A114),"."&amp;COUNTIFS(Budget_items[Subheaders],'Data entry'!A114))</f>
        <v>.00</v>
      </c>
    </row>
    <row r="115" spans="1:3" x14ac:dyDescent="0.3">
      <c r="A115" s="7">
        <f t="shared" si="8"/>
        <v>0</v>
      </c>
      <c r="B115" s="8" t="str">
        <f t="shared" si="7"/>
        <v>0.00</v>
      </c>
      <c r="C115" s="29" t="str">
        <f>IF(COUNTIFS(Budget_items[Subheaders],'Data entry'!A115)&lt;10,".0"&amp;COUNTIFS(Budget_items[Subheaders],'Data entry'!A115),"."&amp;COUNTIFS(Budget_items[Subheaders],'Data entry'!A115))</f>
        <v>.00</v>
      </c>
    </row>
    <row r="116" spans="1:3" x14ac:dyDescent="0.3">
      <c r="A116" s="7">
        <f t="shared" si="8"/>
        <v>0</v>
      </c>
      <c r="B116" s="8" t="str">
        <f t="shared" si="7"/>
        <v>0.00</v>
      </c>
      <c r="C116" s="29" t="str">
        <f>IF(COUNTIFS(Budget_items[Subheaders],'Data entry'!A116)&lt;10,".0"&amp;COUNTIFS(Budget_items[Subheaders],'Data entry'!A116),"."&amp;COUNTIFS(Budget_items[Subheaders],'Data entry'!A116))</f>
        <v>.00</v>
      </c>
    </row>
    <row r="117" spans="1:3" x14ac:dyDescent="0.3">
      <c r="A117" s="7">
        <f t="shared" si="8"/>
        <v>0</v>
      </c>
      <c r="B117" s="8" t="str">
        <f t="shared" si="7"/>
        <v>0.00</v>
      </c>
      <c r="C117" s="29" t="str">
        <f>IF(COUNTIFS(Budget_items[Subheaders],'Data entry'!A117)&lt;10,".0"&amp;COUNTIFS(Budget_items[Subheaders],'Data entry'!A117),"."&amp;COUNTIFS(Budget_items[Subheaders],'Data entry'!A117))</f>
        <v>.00</v>
      </c>
    </row>
    <row r="118" spans="1:3" x14ac:dyDescent="0.3">
      <c r="A118" s="7">
        <f t="shared" si="8"/>
        <v>0</v>
      </c>
      <c r="B118" s="8" t="str">
        <f t="shared" si="7"/>
        <v>0.00</v>
      </c>
      <c r="C118" s="29" t="str">
        <f>IF(COUNTIFS(Budget_items[Subheaders],'Data entry'!A118)&lt;10,".0"&amp;COUNTIFS(Budget_items[Subheaders],'Data entry'!A118),"."&amp;COUNTIFS(Budget_items[Subheaders],'Data entry'!A118))</f>
        <v>.00</v>
      </c>
    </row>
    <row r="119" spans="1:3" x14ac:dyDescent="0.3">
      <c r="A119" s="7">
        <f t="shared" si="8"/>
        <v>0</v>
      </c>
      <c r="B119" s="8" t="str">
        <f t="shared" si="7"/>
        <v>0.00</v>
      </c>
      <c r="C119" s="29" t="str">
        <f>IF(COUNTIFS(Budget_items[Subheaders],'Data entry'!A119)&lt;10,".0"&amp;COUNTIFS(Budget_items[Subheaders],'Data entry'!A119),"."&amp;COUNTIFS(Budget_items[Subheaders],'Data entry'!A119))</f>
        <v>.00</v>
      </c>
    </row>
    <row r="120" spans="1:3" x14ac:dyDescent="0.3">
      <c r="A120" s="7">
        <f t="shared" si="8"/>
        <v>0</v>
      </c>
      <c r="B120" s="8" t="str">
        <f t="shared" si="7"/>
        <v>0.00</v>
      </c>
      <c r="C120" s="29" t="str">
        <f>IF(COUNTIFS(Budget_items[Subheaders],'Data entry'!A120)&lt;10,".0"&amp;COUNTIFS(Budget_items[Subheaders],'Data entry'!A120),"."&amp;COUNTIFS(Budget_items[Subheaders],'Data entry'!A120))</f>
        <v>.00</v>
      </c>
    </row>
    <row r="121" spans="1:3" x14ac:dyDescent="0.3">
      <c r="A121" s="7">
        <f t="shared" si="8"/>
        <v>0</v>
      </c>
      <c r="B121" s="8" t="str">
        <f t="shared" si="7"/>
        <v>0.00</v>
      </c>
      <c r="C121" s="29" t="str">
        <f>IF(COUNTIFS(Budget_items[Subheaders],'Data entry'!A121)&lt;10,".0"&amp;COUNTIFS(Budget_items[Subheaders],'Data entry'!A121),"."&amp;COUNTIFS(Budget_items[Subheaders],'Data entry'!A121))</f>
        <v>.00</v>
      </c>
    </row>
    <row r="122" spans="1:3" x14ac:dyDescent="0.3">
      <c r="A122" s="7">
        <f t="shared" si="8"/>
        <v>0</v>
      </c>
      <c r="B122" s="8" t="str">
        <f t="shared" si="7"/>
        <v>0.00</v>
      </c>
      <c r="C122" s="29" t="str">
        <f>IF(COUNTIFS(Budget_items[Subheaders],'Data entry'!A122)&lt;10,".0"&amp;COUNTIFS(Budget_items[Subheaders],'Data entry'!A122),"."&amp;COUNTIFS(Budget_items[Subheaders],'Data entry'!A122))</f>
        <v>.00</v>
      </c>
    </row>
    <row r="123" spans="1:3" x14ac:dyDescent="0.3">
      <c r="A123" s="7">
        <f t="shared" si="8"/>
        <v>0</v>
      </c>
      <c r="B123" s="8" t="str">
        <f t="shared" si="7"/>
        <v>0.00</v>
      </c>
      <c r="C123" s="29" t="str">
        <f>IF(COUNTIFS(Budget_items[Subheaders],'Data entry'!A123)&lt;10,".0"&amp;COUNTIFS(Budget_items[Subheaders],'Data entry'!A123),"."&amp;COUNTIFS(Budget_items[Subheaders],'Data entry'!A123))</f>
        <v>.00</v>
      </c>
    </row>
    <row r="124" spans="1:3" x14ac:dyDescent="0.3">
      <c r="A124" s="7">
        <f t="shared" si="8"/>
        <v>0</v>
      </c>
      <c r="B124" s="8" t="str">
        <f t="shared" si="7"/>
        <v>0.00</v>
      </c>
      <c r="C124" s="29" t="str">
        <f>IF(COUNTIFS(Budget_items[Subheaders],'Data entry'!A124)&lt;10,".0"&amp;COUNTIFS(Budget_items[Subheaders],'Data entry'!A124),"."&amp;COUNTIFS(Budget_items[Subheaders],'Data entry'!A124))</f>
        <v>.00</v>
      </c>
    </row>
    <row r="125" spans="1:3" x14ac:dyDescent="0.3">
      <c r="A125" s="7">
        <f t="shared" si="8"/>
        <v>0</v>
      </c>
      <c r="B125" s="8" t="str">
        <f t="shared" si="7"/>
        <v>0.00</v>
      </c>
      <c r="C125" s="29" t="str">
        <f>IF(COUNTIFS(Budget_items[Subheaders],'Data entry'!A125)&lt;10,".0"&amp;COUNTIFS(Budget_items[Subheaders],'Data entry'!A125),"."&amp;COUNTIFS(Budget_items[Subheaders],'Data entry'!A125))</f>
        <v>.00</v>
      </c>
    </row>
    <row r="126" spans="1:3" x14ac:dyDescent="0.3">
      <c r="A126" s="7">
        <f t="shared" si="8"/>
        <v>0</v>
      </c>
      <c r="B126" s="8" t="str">
        <f t="shared" si="7"/>
        <v>0.00</v>
      </c>
      <c r="C126" s="29" t="str">
        <f>IF(COUNTIFS(Budget_items[Subheaders],'Data entry'!A126)&lt;10,".0"&amp;COUNTIFS(Budget_items[Subheaders],'Data entry'!A126),"."&amp;COUNTIFS(Budget_items[Subheaders],'Data entry'!A126))</f>
        <v>.00</v>
      </c>
    </row>
    <row r="127" spans="1:3" x14ac:dyDescent="0.3">
      <c r="A127" s="7">
        <f t="shared" si="8"/>
        <v>0</v>
      </c>
      <c r="B127" s="8" t="str">
        <f t="shared" si="7"/>
        <v>0.00</v>
      </c>
      <c r="C127" s="29" t="str">
        <f>IF(COUNTIFS(Budget_items[Subheaders],'Data entry'!A127)&lt;10,".0"&amp;COUNTIFS(Budget_items[Subheaders],'Data entry'!A127),"."&amp;COUNTIFS(Budget_items[Subheaders],'Data entry'!A127))</f>
        <v>.00</v>
      </c>
    </row>
    <row r="128" spans="1:3" x14ac:dyDescent="0.3">
      <c r="A128" s="7">
        <f t="shared" si="8"/>
        <v>0</v>
      </c>
      <c r="B128" s="8" t="str">
        <f t="shared" si="7"/>
        <v>0.00</v>
      </c>
      <c r="C128" s="29" t="str">
        <f>IF(COUNTIFS(Budget_items[Subheaders],'Data entry'!A128)&lt;10,".0"&amp;COUNTIFS(Budget_items[Subheaders],'Data entry'!A128),"."&amp;COUNTIFS(Budget_items[Subheaders],'Data entry'!A128))</f>
        <v>.00</v>
      </c>
    </row>
    <row r="129" spans="1:3" x14ac:dyDescent="0.3">
      <c r="A129" s="7">
        <f t="shared" si="8"/>
        <v>0</v>
      </c>
      <c r="B129" s="8" t="str">
        <f t="shared" si="7"/>
        <v>0.00</v>
      </c>
      <c r="C129" s="29" t="str">
        <f>IF(COUNTIFS(Budget_items[Subheaders],'Data entry'!A129)&lt;10,".0"&amp;COUNTIFS(Budget_items[Subheaders],'Data entry'!A129),"."&amp;COUNTIFS(Budget_items[Subheaders],'Data entry'!A129))</f>
        <v>.00</v>
      </c>
    </row>
    <row r="130" spans="1:3" x14ac:dyDescent="0.3">
      <c r="A130" s="7">
        <f t="shared" si="8"/>
        <v>0</v>
      </c>
      <c r="B130" s="8" t="str">
        <f t="shared" si="7"/>
        <v>0.00</v>
      </c>
      <c r="C130" s="29" t="str">
        <f>IF(COUNTIFS(Budget_items[Subheaders],'Data entry'!A130)&lt;10,".0"&amp;COUNTIFS(Budget_items[Subheaders],'Data entry'!A130),"."&amp;COUNTIFS(Budget_items[Subheaders],'Data entry'!A130))</f>
        <v>.00</v>
      </c>
    </row>
    <row r="131" spans="1:3" x14ac:dyDescent="0.3">
      <c r="A131" s="7">
        <f t="shared" si="8"/>
        <v>0</v>
      </c>
      <c r="B131" s="8" t="str">
        <f t="shared" ref="B131:B194" si="9">LEFT(A131,4)&amp;C131</f>
        <v>0.00</v>
      </c>
      <c r="C131" s="29" t="str">
        <f>IF(COUNTIFS(Budget_items[Subheaders],'Data entry'!A131)&lt;10,".0"&amp;COUNTIFS(Budget_items[Subheaders],'Data entry'!A131),"."&amp;COUNTIFS(Budget_items[Subheaders],'Data entry'!A131))</f>
        <v>.00</v>
      </c>
    </row>
    <row r="132" spans="1:3" x14ac:dyDescent="0.3">
      <c r="A132" s="7">
        <f t="shared" si="8"/>
        <v>0</v>
      </c>
      <c r="B132" s="8" t="str">
        <f t="shared" si="9"/>
        <v>0.00</v>
      </c>
      <c r="C132" s="29" t="str">
        <f>IF(COUNTIFS(Budget_items[Subheaders],'Data entry'!A132)&lt;10,".0"&amp;COUNTIFS(Budget_items[Subheaders],'Data entry'!A132),"."&amp;COUNTIFS(Budget_items[Subheaders],'Data entry'!A132))</f>
        <v>.00</v>
      </c>
    </row>
    <row r="133" spans="1:3" x14ac:dyDescent="0.3">
      <c r="A133" s="7">
        <f t="shared" si="8"/>
        <v>0</v>
      </c>
      <c r="B133" s="8" t="str">
        <f t="shared" si="9"/>
        <v>0.00</v>
      </c>
      <c r="C133" s="29" t="str">
        <f>IF(COUNTIFS(Budget_items[Subheaders],'Data entry'!A133)&lt;10,".0"&amp;COUNTIFS(Budget_items[Subheaders],'Data entry'!A133),"."&amp;COUNTIFS(Budget_items[Subheaders],'Data entry'!A133))</f>
        <v>.00</v>
      </c>
    </row>
    <row r="134" spans="1:3" x14ac:dyDescent="0.3">
      <c r="A134" s="7">
        <f t="shared" si="8"/>
        <v>0</v>
      </c>
      <c r="B134" s="8" t="str">
        <f t="shared" si="9"/>
        <v>0.00</v>
      </c>
      <c r="C134" s="29" t="str">
        <f>IF(COUNTIFS(Budget_items[Subheaders],'Data entry'!A134)&lt;10,".0"&amp;COUNTIFS(Budget_items[Subheaders],'Data entry'!A134),"."&amp;COUNTIFS(Budget_items[Subheaders],'Data entry'!A134))</f>
        <v>.00</v>
      </c>
    </row>
    <row r="135" spans="1:3" x14ac:dyDescent="0.3">
      <c r="A135" s="7">
        <f t="shared" si="8"/>
        <v>0</v>
      </c>
      <c r="B135" s="8" t="str">
        <f t="shared" si="9"/>
        <v>0.00</v>
      </c>
      <c r="C135" s="29" t="str">
        <f>IF(COUNTIFS(Budget_items[Subheaders],'Data entry'!A135)&lt;10,".0"&amp;COUNTIFS(Budget_items[Subheaders],'Data entry'!A135),"."&amp;COUNTIFS(Budget_items[Subheaders],'Data entry'!A135))</f>
        <v>.00</v>
      </c>
    </row>
    <row r="136" spans="1:3" x14ac:dyDescent="0.3">
      <c r="A136" s="7">
        <f t="shared" si="8"/>
        <v>0</v>
      </c>
      <c r="B136" s="8" t="str">
        <f t="shared" si="9"/>
        <v>0.00</v>
      </c>
      <c r="C136" s="29" t="str">
        <f>IF(COUNTIFS(Budget_items[Subheaders],'Data entry'!A136)&lt;10,".0"&amp;COUNTIFS(Budget_items[Subheaders],'Data entry'!A136),"."&amp;COUNTIFS(Budget_items[Subheaders],'Data entry'!A136))</f>
        <v>.00</v>
      </c>
    </row>
    <row r="137" spans="1:3" x14ac:dyDescent="0.3">
      <c r="A137" s="7">
        <f t="shared" si="8"/>
        <v>0</v>
      </c>
      <c r="B137" s="8" t="str">
        <f t="shared" si="9"/>
        <v>0.00</v>
      </c>
      <c r="C137" s="29" t="str">
        <f>IF(COUNTIFS(Budget_items[Subheaders],'Data entry'!A137)&lt;10,".0"&amp;COUNTIFS(Budget_items[Subheaders],'Data entry'!A137),"."&amp;COUNTIFS(Budget_items[Subheaders],'Data entry'!A137))</f>
        <v>.00</v>
      </c>
    </row>
    <row r="138" spans="1:3" x14ac:dyDescent="0.3">
      <c r="A138" s="7">
        <f t="shared" si="8"/>
        <v>0</v>
      </c>
      <c r="B138" s="8" t="str">
        <f t="shared" si="9"/>
        <v>0.00</v>
      </c>
      <c r="C138" s="29" t="str">
        <f>IF(COUNTIFS(Budget_items[Subheaders],'Data entry'!A138)&lt;10,".0"&amp;COUNTIFS(Budget_items[Subheaders],'Data entry'!A138),"."&amp;COUNTIFS(Budget_items[Subheaders],'Data entry'!A138))</f>
        <v>.00</v>
      </c>
    </row>
    <row r="139" spans="1:3" x14ac:dyDescent="0.3">
      <c r="A139" s="7">
        <f t="shared" si="8"/>
        <v>0</v>
      </c>
      <c r="B139" s="8" t="str">
        <f t="shared" si="9"/>
        <v>0.00</v>
      </c>
      <c r="C139" s="29" t="str">
        <f>IF(COUNTIFS(Budget_items[Subheaders],'Data entry'!A139)&lt;10,".0"&amp;COUNTIFS(Budget_items[Subheaders],'Data entry'!A139),"."&amp;COUNTIFS(Budget_items[Subheaders],'Data entry'!A139))</f>
        <v>.00</v>
      </c>
    </row>
    <row r="140" spans="1:3" x14ac:dyDescent="0.3">
      <c r="A140" s="7">
        <f t="shared" si="8"/>
        <v>0</v>
      </c>
      <c r="B140" s="8" t="str">
        <f t="shared" si="9"/>
        <v>0.00</v>
      </c>
      <c r="C140" s="29" t="str">
        <f>IF(COUNTIFS(Budget_items[Subheaders],'Data entry'!A140)&lt;10,".0"&amp;COUNTIFS(Budget_items[Subheaders],'Data entry'!A140),"."&amp;COUNTIFS(Budget_items[Subheaders],'Data entry'!A140))</f>
        <v>.00</v>
      </c>
    </row>
    <row r="141" spans="1:3" x14ac:dyDescent="0.3">
      <c r="A141" s="7">
        <f t="shared" si="8"/>
        <v>0</v>
      </c>
      <c r="B141" s="8" t="str">
        <f t="shared" si="9"/>
        <v>0.00</v>
      </c>
      <c r="C141" s="29" t="str">
        <f>IF(COUNTIFS(Budget_items[Subheaders],'Data entry'!A141)&lt;10,".0"&amp;COUNTIFS(Budget_items[Subheaders],'Data entry'!A141),"."&amp;COUNTIFS(Budget_items[Subheaders],'Data entry'!A141))</f>
        <v>.00</v>
      </c>
    </row>
    <row r="142" spans="1:3" x14ac:dyDescent="0.3">
      <c r="A142" s="7">
        <f t="shared" si="8"/>
        <v>0</v>
      </c>
      <c r="B142" s="8" t="str">
        <f t="shared" si="9"/>
        <v>0.00</v>
      </c>
      <c r="C142" s="29" t="str">
        <f>IF(COUNTIFS(Budget_items[Subheaders],'Data entry'!A142)&lt;10,".0"&amp;COUNTIFS(Budget_items[Subheaders],'Data entry'!A142),"."&amp;COUNTIFS(Budget_items[Subheaders],'Data entry'!A142))</f>
        <v>.00</v>
      </c>
    </row>
    <row r="143" spans="1:3" x14ac:dyDescent="0.3">
      <c r="A143" s="7">
        <f t="shared" si="8"/>
        <v>0</v>
      </c>
      <c r="B143" s="8" t="str">
        <f t="shared" si="9"/>
        <v>0.00</v>
      </c>
      <c r="C143" s="29" t="str">
        <f>IF(COUNTIFS(Budget_items[Subheaders],'Data entry'!A143)&lt;10,".0"&amp;COUNTIFS(Budget_items[Subheaders],'Data entry'!A143),"."&amp;COUNTIFS(Budget_items[Subheaders],'Data entry'!A143))</f>
        <v>.00</v>
      </c>
    </row>
    <row r="144" spans="1:3" x14ac:dyDescent="0.3">
      <c r="A144" s="7">
        <f t="shared" si="8"/>
        <v>0</v>
      </c>
      <c r="B144" s="8" t="str">
        <f t="shared" si="9"/>
        <v>0.00</v>
      </c>
      <c r="C144" s="29" t="str">
        <f>IF(COUNTIFS(Budget_items[Subheaders],'Data entry'!A144)&lt;10,".0"&amp;COUNTIFS(Budget_items[Subheaders],'Data entry'!A144),"."&amp;COUNTIFS(Budget_items[Subheaders],'Data entry'!A144))</f>
        <v>.00</v>
      </c>
    </row>
    <row r="145" spans="1:3" x14ac:dyDescent="0.3">
      <c r="A145" s="7">
        <f t="shared" si="8"/>
        <v>0</v>
      </c>
      <c r="B145" s="8" t="str">
        <f t="shared" si="9"/>
        <v>0.00</v>
      </c>
      <c r="C145" s="29" t="str">
        <f>IF(COUNTIFS(Budget_items[Subheaders],'Data entry'!A145)&lt;10,".0"&amp;COUNTIFS(Budget_items[Subheaders],'Data entry'!A145),"."&amp;COUNTIFS(Budget_items[Subheaders],'Data entry'!A145))</f>
        <v>.00</v>
      </c>
    </row>
    <row r="146" spans="1:3" x14ac:dyDescent="0.3">
      <c r="A146" s="7">
        <f t="shared" si="8"/>
        <v>0</v>
      </c>
      <c r="B146" s="8" t="str">
        <f t="shared" si="9"/>
        <v>0.00</v>
      </c>
      <c r="C146" s="29" t="str">
        <f>IF(COUNTIFS(Budget_items[Subheaders],'Data entry'!A146)&lt;10,".0"&amp;COUNTIFS(Budget_items[Subheaders],'Data entry'!A146),"."&amp;COUNTIFS(Budget_items[Subheaders],'Data entry'!A146))</f>
        <v>.00</v>
      </c>
    </row>
    <row r="147" spans="1:3" x14ac:dyDescent="0.3">
      <c r="A147" s="7">
        <f t="shared" si="8"/>
        <v>0</v>
      </c>
      <c r="B147" s="8" t="str">
        <f t="shared" si="9"/>
        <v>0.00</v>
      </c>
      <c r="C147" s="29" t="str">
        <f>IF(COUNTIFS(Budget_items[Subheaders],'Data entry'!A147)&lt;10,".0"&amp;COUNTIFS(Budget_items[Subheaders],'Data entry'!A147),"."&amp;COUNTIFS(Budget_items[Subheaders],'Data entry'!A147))</f>
        <v>.00</v>
      </c>
    </row>
    <row r="148" spans="1:3" x14ac:dyDescent="0.3">
      <c r="A148" s="7">
        <f t="shared" si="8"/>
        <v>0</v>
      </c>
      <c r="B148" s="8" t="str">
        <f t="shared" si="9"/>
        <v>0.00</v>
      </c>
      <c r="C148" s="29" t="str">
        <f>IF(COUNTIFS(Budget_items[Subheaders],'Data entry'!A148)&lt;10,".0"&amp;COUNTIFS(Budget_items[Subheaders],'Data entry'!A148),"."&amp;COUNTIFS(Budget_items[Subheaders],'Data entry'!A148))</f>
        <v>.00</v>
      </c>
    </row>
    <row r="149" spans="1:3" x14ac:dyDescent="0.3">
      <c r="A149" s="7">
        <f t="shared" si="8"/>
        <v>0</v>
      </c>
      <c r="B149" s="8" t="str">
        <f t="shared" si="9"/>
        <v>0.00</v>
      </c>
      <c r="C149" s="29" t="str">
        <f>IF(COUNTIFS(Budget_items[Subheaders],'Data entry'!A149)&lt;10,".0"&amp;COUNTIFS(Budget_items[Subheaders],'Data entry'!A149),"."&amp;COUNTIFS(Budget_items[Subheaders],'Data entry'!A149))</f>
        <v>.00</v>
      </c>
    </row>
    <row r="150" spans="1:3" x14ac:dyDescent="0.3">
      <c r="A150" s="7">
        <f t="shared" si="8"/>
        <v>0</v>
      </c>
      <c r="B150" s="8" t="str">
        <f t="shared" si="9"/>
        <v>0.00</v>
      </c>
      <c r="C150" s="29" t="str">
        <f>IF(COUNTIFS(Budget_items[Subheaders],'Data entry'!A150)&lt;10,".0"&amp;COUNTIFS(Budget_items[Subheaders],'Data entry'!A150),"."&amp;COUNTIFS(Budget_items[Subheaders],'Data entry'!A150))</f>
        <v>.00</v>
      </c>
    </row>
    <row r="151" spans="1:3" x14ac:dyDescent="0.3">
      <c r="A151" s="7">
        <f t="shared" si="8"/>
        <v>0</v>
      </c>
      <c r="B151" s="8" t="str">
        <f t="shared" si="9"/>
        <v>0.00</v>
      </c>
      <c r="C151" s="29" t="str">
        <f>IF(COUNTIFS(Budget_items[Subheaders],'Data entry'!A151)&lt;10,".0"&amp;COUNTIFS(Budget_items[Subheaders],'Data entry'!A151),"."&amp;COUNTIFS(Budget_items[Subheaders],'Data entry'!A151))</f>
        <v>.00</v>
      </c>
    </row>
    <row r="152" spans="1:3" x14ac:dyDescent="0.3">
      <c r="A152" s="7">
        <f t="shared" si="8"/>
        <v>0</v>
      </c>
      <c r="B152" s="8" t="str">
        <f t="shared" si="9"/>
        <v>0.00</v>
      </c>
      <c r="C152" s="29" t="str">
        <f>IF(COUNTIFS(Budget_items[Subheaders],'Data entry'!A152)&lt;10,".0"&amp;COUNTIFS(Budget_items[Subheaders],'Data entry'!A152),"."&amp;COUNTIFS(Budget_items[Subheaders],'Data entry'!A152))</f>
        <v>.00</v>
      </c>
    </row>
    <row r="153" spans="1:3" x14ac:dyDescent="0.3">
      <c r="A153" s="7">
        <f t="shared" si="8"/>
        <v>0</v>
      </c>
      <c r="B153" s="8" t="str">
        <f t="shared" si="9"/>
        <v>0.00</v>
      </c>
      <c r="C153" s="29" t="str">
        <f>IF(COUNTIFS(Budget_items[Subheaders],'Data entry'!A153)&lt;10,".0"&amp;COUNTIFS(Budget_items[Subheaders],'Data entry'!A153),"."&amp;COUNTIFS(Budget_items[Subheaders],'Data entry'!A153))</f>
        <v>.00</v>
      </c>
    </row>
    <row r="154" spans="1:3" x14ac:dyDescent="0.3">
      <c r="A154" s="7">
        <f t="shared" ref="A154:A217" si="10">P156</f>
        <v>0</v>
      </c>
      <c r="B154" s="8" t="str">
        <f t="shared" si="9"/>
        <v>0.00</v>
      </c>
      <c r="C154" s="29" t="str">
        <f>IF(COUNTIFS(Budget_items[Subheaders],'Data entry'!A154)&lt;10,".0"&amp;COUNTIFS(Budget_items[Subheaders],'Data entry'!A154),"."&amp;COUNTIFS(Budget_items[Subheaders],'Data entry'!A154))</f>
        <v>.00</v>
      </c>
    </row>
    <row r="155" spans="1:3" x14ac:dyDescent="0.3">
      <c r="A155" s="7">
        <f t="shared" si="10"/>
        <v>0</v>
      </c>
      <c r="B155" s="8" t="str">
        <f t="shared" si="9"/>
        <v>0.00</v>
      </c>
      <c r="C155" s="29" t="str">
        <f>IF(COUNTIFS(Budget_items[Subheaders],'Data entry'!A155)&lt;10,".0"&amp;COUNTIFS(Budget_items[Subheaders],'Data entry'!A155),"."&amp;COUNTIFS(Budget_items[Subheaders],'Data entry'!A155))</f>
        <v>.00</v>
      </c>
    </row>
    <row r="156" spans="1:3" x14ac:dyDescent="0.3">
      <c r="A156" s="7">
        <f t="shared" si="10"/>
        <v>0</v>
      </c>
      <c r="B156" s="8" t="str">
        <f t="shared" si="9"/>
        <v>0.00</v>
      </c>
      <c r="C156" s="29" t="str">
        <f>IF(COUNTIFS(Budget_items[Subheaders],'Data entry'!A156)&lt;10,".0"&amp;COUNTIFS(Budget_items[Subheaders],'Data entry'!A156),"."&amp;COUNTIFS(Budget_items[Subheaders],'Data entry'!A156))</f>
        <v>.00</v>
      </c>
    </row>
    <row r="157" spans="1:3" x14ac:dyDescent="0.3">
      <c r="A157" s="7">
        <f t="shared" si="10"/>
        <v>0</v>
      </c>
      <c r="B157" s="8" t="str">
        <f t="shared" si="9"/>
        <v>0.00</v>
      </c>
      <c r="C157" s="29" t="str">
        <f>IF(COUNTIFS(Budget_items[Subheaders],'Data entry'!A157)&lt;10,".0"&amp;COUNTIFS(Budget_items[Subheaders],'Data entry'!A157),"."&amp;COUNTIFS(Budget_items[Subheaders],'Data entry'!A157))</f>
        <v>.00</v>
      </c>
    </row>
    <row r="158" spans="1:3" x14ac:dyDescent="0.3">
      <c r="A158" s="7">
        <f t="shared" si="10"/>
        <v>0</v>
      </c>
      <c r="B158" s="8" t="str">
        <f t="shared" si="9"/>
        <v>0.00</v>
      </c>
      <c r="C158" s="29" t="str">
        <f>IF(COUNTIFS(Budget_items[Subheaders],'Data entry'!A158)&lt;10,".0"&amp;COUNTIFS(Budget_items[Subheaders],'Data entry'!A158),"."&amp;COUNTIFS(Budget_items[Subheaders],'Data entry'!A158))</f>
        <v>.00</v>
      </c>
    </row>
    <row r="159" spans="1:3" x14ac:dyDescent="0.3">
      <c r="A159" s="7">
        <f t="shared" si="10"/>
        <v>0</v>
      </c>
      <c r="B159" s="8" t="str">
        <f t="shared" si="9"/>
        <v>0.00</v>
      </c>
      <c r="C159" s="29" t="str">
        <f>IF(COUNTIFS(Budget_items[Subheaders],'Data entry'!A159)&lt;10,".0"&amp;COUNTIFS(Budget_items[Subheaders],'Data entry'!A159),"."&amp;COUNTIFS(Budget_items[Subheaders],'Data entry'!A159))</f>
        <v>.00</v>
      </c>
    </row>
    <row r="160" spans="1:3" x14ac:dyDescent="0.3">
      <c r="A160" s="7">
        <f t="shared" si="10"/>
        <v>0</v>
      </c>
      <c r="B160" s="8" t="str">
        <f t="shared" si="9"/>
        <v>0.00</v>
      </c>
      <c r="C160" s="29" t="str">
        <f>IF(COUNTIFS(Budget_items[Subheaders],'Data entry'!A160)&lt;10,".0"&amp;COUNTIFS(Budget_items[Subheaders],'Data entry'!A160),"."&amp;COUNTIFS(Budget_items[Subheaders],'Data entry'!A160))</f>
        <v>.00</v>
      </c>
    </row>
    <row r="161" spans="1:3" x14ac:dyDescent="0.3">
      <c r="A161" s="7">
        <f t="shared" si="10"/>
        <v>0</v>
      </c>
      <c r="B161" s="8" t="str">
        <f t="shared" si="9"/>
        <v>0.00</v>
      </c>
      <c r="C161" s="29" t="str">
        <f>IF(COUNTIFS(Budget_items[Subheaders],'Data entry'!A161)&lt;10,".0"&amp;COUNTIFS(Budget_items[Subheaders],'Data entry'!A161),"."&amp;COUNTIFS(Budget_items[Subheaders],'Data entry'!A161))</f>
        <v>.00</v>
      </c>
    </row>
    <row r="162" spans="1:3" x14ac:dyDescent="0.3">
      <c r="A162" s="7">
        <f t="shared" si="10"/>
        <v>0</v>
      </c>
      <c r="B162" s="8" t="str">
        <f t="shared" si="9"/>
        <v>0.00</v>
      </c>
      <c r="C162" s="29" t="str">
        <f>IF(COUNTIFS(Budget_items[Subheaders],'Data entry'!A162)&lt;10,".0"&amp;COUNTIFS(Budget_items[Subheaders],'Data entry'!A162),"."&amp;COUNTIFS(Budget_items[Subheaders],'Data entry'!A162))</f>
        <v>.00</v>
      </c>
    </row>
    <row r="163" spans="1:3" x14ac:dyDescent="0.3">
      <c r="A163" s="7">
        <f t="shared" si="10"/>
        <v>0</v>
      </c>
      <c r="B163" s="8" t="str">
        <f t="shared" si="9"/>
        <v>0.00</v>
      </c>
      <c r="C163" s="29" t="str">
        <f>IF(COUNTIFS(Budget_items[Subheaders],'Data entry'!A163)&lt;10,".0"&amp;COUNTIFS(Budget_items[Subheaders],'Data entry'!A163),"."&amp;COUNTIFS(Budget_items[Subheaders],'Data entry'!A163))</f>
        <v>.00</v>
      </c>
    </row>
    <row r="164" spans="1:3" x14ac:dyDescent="0.3">
      <c r="A164" s="7">
        <f t="shared" si="10"/>
        <v>0</v>
      </c>
      <c r="B164" s="8" t="str">
        <f t="shared" si="9"/>
        <v>0.00</v>
      </c>
      <c r="C164" s="29" t="str">
        <f>IF(COUNTIFS(Budget_items[Subheaders],'Data entry'!A164)&lt;10,".0"&amp;COUNTIFS(Budget_items[Subheaders],'Data entry'!A164),"."&amp;COUNTIFS(Budget_items[Subheaders],'Data entry'!A164))</f>
        <v>.00</v>
      </c>
    </row>
    <row r="165" spans="1:3" x14ac:dyDescent="0.3">
      <c r="A165" s="7">
        <f t="shared" si="10"/>
        <v>0</v>
      </c>
      <c r="B165" s="8" t="str">
        <f t="shared" si="9"/>
        <v>0.00</v>
      </c>
      <c r="C165" s="29" t="str">
        <f>IF(COUNTIFS(Budget_items[Subheaders],'Data entry'!A165)&lt;10,".0"&amp;COUNTIFS(Budget_items[Subheaders],'Data entry'!A165),"."&amp;COUNTIFS(Budget_items[Subheaders],'Data entry'!A165))</f>
        <v>.00</v>
      </c>
    </row>
    <row r="166" spans="1:3" x14ac:dyDescent="0.3">
      <c r="A166" s="7">
        <f t="shared" si="10"/>
        <v>0</v>
      </c>
      <c r="B166" s="8" t="str">
        <f t="shared" si="9"/>
        <v>0.00</v>
      </c>
      <c r="C166" s="29" t="str">
        <f>IF(COUNTIFS(Budget_items[Subheaders],'Data entry'!A166)&lt;10,".0"&amp;COUNTIFS(Budget_items[Subheaders],'Data entry'!A166),"."&amp;COUNTIFS(Budget_items[Subheaders],'Data entry'!A166))</f>
        <v>.00</v>
      </c>
    </row>
    <row r="167" spans="1:3" x14ac:dyDescent="0.3">
      <c r="A167" s="7">
        <f t="shared" si="10"/>
        <v>0</v>
      </c>
      <c r="B167" s="8" t="str">
        <f t="shared" si="9"/>
        <v>0.00</v>
      </c>
      <c r="C167" s="29" t="str">
        <f>IF(COUNTIFS(Budget_items[Subheaders],'Data entry'!A167)&lt;10,".0"&amp;COUNTIFS(Budget_items[Subheaders],'Data entry'!A167),"."&amp;COUNTIFS(Budget_items[Subheaders],'Data entry'!A167))</f>
        <v>.00</v>
      </c>
    </row>
    <row r="168" spans="1:3" x14ac:dyDescent="0.3">
      <c r="A168" s="7">
        <f t="shared" si="10"/>
        <v>0</v>
      </c>
      <c r="B168" s="8" t="str">
        <f t="shared" si="9"/>
        <v>0.00</v>
      </c>
      <c r="C168" s="29" t="str">
        <f>IF(COUNTIFS(Budget_items[Subheaders],'Data entry'!A168)&lt;10,".0"&amp;COUNTIFS(Budget_items[Subheaders],'Data entry'!A168),"."&amp;COUNTIFS(Budget_items[Subheaders],'Data entry'!A168))</f>
        <v>.00</v>
      </c>
    </row>
    <row r="169" spans="1:3" x14ac:dyDescent="0.3">
      <c r="A169" s="7">
        <f t="shared" si="10"/>
        <v>0</v>
      </c>
      <c r="B169" s="8" t="str">
        <f t="shared" si="9"/>
        <v>0.00</v>
      </c>
      <c r="C169" s="29" t="str">
        <f>IF(COUNTIFS(Budget_items[Subheaders],'Data entry'!A169)&lt;10,".0"&amp;COUNTIFS(Budget_items[Subheaders],'Data entry'!A169),"."&amp;COUNTIFS(Budget_items[Subheaders],'Data entry'!A169))</f>
        <v>.00</v>
      </c>
    </row>
    <row r="170" spans="1:3" x14ac:dyDescent="0.3">
      <c r="A170" s="7">
        <f t="shared" si="10"/>
        <v>0</v>
      </c>
      <c r="B170" s="8" t="str">
        <f t="shared" si="9"/>
        <v>0.00</v>
      </c>
      <c r="C170" s="29" t="str">
        <f>IF(COUNTIFS(Budget_items[Subheaders],'Data entry'!A170)&lt;10,".0"&amp;COUNTIFS(Budget_items[Subheaders],'Data entry'!A170),"."&amp;COUNTIFS(Budget_items[Subheaders],'Data entry'!A170))</f>
        <v>.00</v>
      </c>
    </row>
    <row r="171" spans="1:3" x14ac:dyDescent="0.3">
      <c r="A171" s="7">
        <f t="shared" si="10"/>
        <v>0</v>
      </c>
      <c r="B171" s="8" t="str">
        <f t="shared" si="9"/>
        <v>0.00</v>
      </c>
      <c r="C171" s="29" t="str">
        <f>IF(COUNTIFS(Budget_items[Subheaders],'Data entry'!A171)&lt;10,".0"&amp;COUNTIFS(Budget_items[Subheaders],'Data entry'!A171),"."&amp;COUNTIFS(Budget_items[Subheaders],'Data entry'!A171))</f>
        <v>.00</v>
      </c>
    </row>
    <row r="172" spans="1:3" x14ac:dyDescent="0.3">
      <c r="A172" s="7">
        <f t="shared" si="10"/>
        <v>0</v>
      </c>
      <c r="B172" s="8" t="str">
        <f t="shared" si="9"/>
        <v>0.00</v>
      </c>
      <c r="C172" s="29" t="str">
        <f>IF(COUNTIFS(Budget_items[Subheaders],'Data entry'!A172)&lt;10,".0"&amp;COUNTIFS(Budget_items[Subheaders],'Data entry'!A172),"."&amp;COUNTIFS(Budget_items[Subheaders],'Data entry'!A172))</f>
        <v>.00</v>
      </c>
    </row>
    <row r="173" spans="1:3" x14ac:dyDescent="0.3">
      <c r="A173" s="7">
        <f t="shared" si="10"/>
        <v>0</v>
      </c>
      <c r="B173" s="8" t="str">
        <f t="shared" si="9"/>
        <v>0.00</v>
      </c>
      <c r="C173" s="29" t="str">
        <f>IF(COUNTIFS(Budget_items[Subheaders],'Data entry'!A173)&lt;10,".0"&amp;COUNTIFS(Budget_items[Subheaders],'Data entry'!A173),"."&amp;COUNTIFS(Budget_items[Subheaders],'Data entry'!A173))</f>
        <v>.00</v>
      </c>
    </row>
    <row r="174" spans="1:3" x14ac:dyDescent="0.3">
      <c r="A174" s="7">
        <f t="shared" si="10"/>
        <v>0</v>
      </c>
      <c r="B174" s="8" t="str">
        <f t="shared" si="9"/>
        <v>0.00</v>
      </c>
      <c r="C174" s="29" t="str">
        <f>IF(COUNTIFS(Budget_items[Subheaders],'Data entry'!A174)&lt;10,".0"&amp;COUNTIFS(Budget_items[Subheaders],'Data entry'!A174),"."&amp;COUNTIFS(Budget_items[Subheaders],'Data entry'!A174))</f>
        <v>.00</v>
      </c>
    </row>
    <row r="175" spans="1:3" x14ac:dyDescent="0.3">
      <c r="A175" s="7">
        <f t="shared" si="10"/>
        <v>0</v>
      </c>
      <c r="B175" s="8" t="str">
        <f t="shared" si="9"/>
        <v>0.00</v>
      </c>
      <c r="C175" s="29" t="str">
        <f>IF(COUNTIFS(Budget_items[Subheaders],'Data entry'!A175)&lt;10,".0"&amp;COUNTIFS(Budget_items[Subheaders],'Data entry'!A175),"."&amp;COUNTIFS(Budget_items[Subheaders],'Data entry'!A175))</f>
        <v>.00</v>
      </c>
    </row>
    <row r="176" spans="1:3" x14ac:dyDescent="0.3">
      <c r="A176" s="7">
        <f t="shared" si="10"/>
        <v>0</v>
      </c>
      <c r="B176" s="8" t="str">
        <f t="shared" si="9"/>
        <v>0.00</v>
      </c>
      <c r="C176" s="29" t="str">
        <f>IF(COUNTIFS(Budget_items[Subheaders],'Data entry'!A176)&lt;10,".0"&amp;COUNTIFS(Budget_items[Subheaders],'Data entry'!A176),"."&amp;COUNTIFS(Budget_items[Subheaders],'Data entry'!A176))</f>
        <v>.00</v>
      </c>
    </row>
    <row r="177" spans="1:3" x14ac:dyDescent="0.3">
      <c r="A177" s="7">
        <f t="shared" si="10"/>
        <v>0</v>
      </c>
      <c r="B177" s="8" t="str">
        <f t="shared" si="9"/>
        <v>0.00</v>
      </c>
      <c r="C177" s="29" t="str">
        <f>IF(COUNTIFS(Budget_items[Subheaders],'Data entry'!A177)&lt;10,".0"&amp;COUNTIFS(Budget_items[Subheaders],'Data entry'!A177),"."&amp;COUNTIFS(Budget_items[Subheaders],'Data entry'!A177))</f>
        <v>.00</v>
      </c>
    </row>
    <row r="178" spans="1:3" x14ac:dyDescent="0.3">
      <c r="A178" s="7">
        <f t="shared" si="10"/>
        <v>0</v>
      </c>
      <c r="B178" s="8" t="str">
        <f t="shared" si="9"/>
        <v>0.00</v>
      </c>
      <c r="C178" s="29" t="str">
        <f>IF(COUNTIFS(Budget_items[Subheaders],'Data entry'!A178)&lt;10,".0"&amp;COUNTIFS(Budget_items[Subheaders],'Data entry'!A178),"."&amp;COUNTIFS(Budget_items[Subheaders],'Data entry'!A178))</f>
        <v>.00</v>
      </c>
    </row>
    <row r="179" spans="1:3" x14ac:dyDescent="0.3">
      <c r="A179" s="7">
        <f t="shared" si="10"/>
        <v>0</v>
      </c>
      <c r="B179" s="8" t="str">
        <f t="shared" si="9"/>
        <v>0.00</v>
      </c>
      <c r="C179" s="29" t="str">
        <f>IF(COUNTIFS(Budget_items[Subheaders],'Data entry'!A179)&lt;10,".0"&amp;COUNTIFS(Budget_items[Subheaders],'Data entry'!A179),"."&amp;COUNTIFS(Budget_items[Subheaders],'Data entry'!A179))</f>
        <v>.00</v>
      </c>
    </row>
    <row r="180" spans="1:3" x14ac:dyDescent="0.3">
      <c r="A180" s="7">
        <f t="shared" si="10"/>
        <v>0</v>
      </c>
      <c r="B180" s="8" t="str">
        <f t="shared" si="9"/>
        <v>0.00</v>
      </c>
      <c r="C180" s="29" t="str">
        <f>IF(COUNTIFS(Budget_items[Subheaders],'Data entry'!A180)&lt;10,".0"&amp;COUNTIFS(Budget_items[Subheaders],'Data entry'!A180),"."&amp;COUNTIFS(Budget_items[Subheaders],'Data entry'!A180))</f>
        <v>.00</v>
      </c>
    </row>
    <row r="181" spans="1:3" x14ac:dyDescent="0.3">
      <c r="A181" s="7">
        <f t="shared" si="10"/>
        <v>0</v>
      </c>
      <c r="B181" s="8" t="str">
        <f t="shared" si="9"/>
        <v>0.00</v>
      </c>
      <c r="C181" s="29" t="str">
        <f>IF(COUNTIFS(Budget_items[Subheaders],'Data entry'!A181)&lt;10,".0"&amp;COUNTIFS(Budget_items[Subheaders],'Data entry'!A181),"."&amp;COUNTIFS(Budget_items[Subheaders],'Data entry'!A181))</f>
        <v>.00</v>
      </c>
    </row>
    <row r="182" spans="1:3" x14ac:dyDescent="0.3">
      <c r="A182" s="7">
        <f t="shared" si="10"/>
        <v>0</v>
      </c>
      <c r="B182" s="8" t="str">
        <f t="shared" si="9"/>
        <v>0.00</v>
      </c>
      <c r="C182" s="29" t="str">
        <f>IF(COUNTIFS(Budget_items[Subheaders],'Data entry'!A182)&lt;10,".0"&amp;COUNTIFS(Budget_items[Subheaders],'Data entry'!A182),"."&amp;COUNTIFS(Budget_items[Subheaders],'Data entry'!A182))</f>
        <v>.00</v>
      </c>
    </row>
    <row r="183" spans="1:3" x14ac:dyDescent="0.3">
      <c r="A183" s="7">
        <f t="shared" si="10"/>
        <v>0</v>
      </c>
      <c r="B183" s="8" t="str">
        <f t="shared" si="9"/>
        <v>0.00</v>
      </c>
      <c r="C183" s="29" t="str">
        <f>IF(COUNTIFS(Budget_items[Subheaders],'Data entry'!A183)&lt;10,".0"&amp;COUNTIFS(Budget_items[Subheaders],'Data entry'!A183),"."&amp;COUNTIFS(Budget_items[Subheaders],'Data entry'!A183))</f>
        <v>.00</v>
      </c>
    </row>
    <row r="184" spans="1:3" x14ac:dyDescent="0.3">
      <c r="A184" s="7">
        <f t="shared" si="10"/>
        <v>0</v>
      </c>
      <c r="B184" s="8" t="str">
        <f t="shared" si="9"/>
        <v>0.00</v>
      </c>
      <c r="C184" s="29" t="str">
        <f>IF(COUNTIFS(Budget_items[Subheaders],'Data entry'!A184)&lt;10,".0"&amp;COUNTIFS(Budget_items[Subheaders],'Data entry'!A184),"."&amp;COUNTIFS(Budget_items[Subheaders],'Data entry'!A184))</f>
        <v>.00</v>
      </c>
    </row>
    <row r="185" spans="1:3" x14ac:dyDescent="0.3">
      <c r="A185" s="7">
        <f t="shared" si="10"/>
        <v>0</v>
      </c>
      <c r="B185" s="8" t="str">
        <f t="shared" si="9"/>
        <v>0.00</v>
      </c>
      <c r="C185" s="29" t="str">
        <f>IF(COUNTIFS(Budget_items[Subheaders],'Data entry'!A185)&lt;10,".0"&amp;COUNTIFS(Budget_items[Subheaders],'Data entry'!A185),"."&amp;COUNTIFS(Budget_items[Subheaders],'Data entry'!A185))</f>
        <v>.00</v>
      </c>
    </row>
    <row r="186" spans="1:3" x14ac:dyDescent="0.3">
      <c r="A186" s="7">
        <f t="shared" si="10"/>
        <v>0</v>
      </c>
      <c r="B186" s="8" t="str">
        <f t="shared" si="9"/>
        <v>0.00</v>
      </c>
      <c r="C186" s="29" t="str">
        <f>IF(COUNTIFS(Budget_items[Subheaders],'Data entry'!A186)&lt;10,".0"&amp;COUNTIFS(Budget_items[Subheaders],'Data entry'!A186),"."&amp;COUNTIFS(Budget_items[Subheaders],'Data entry'!A186))</f>
        <v>.00</v>
      </c>
    </row>
    <row r="187" spans="1:3" x14ac:dyDescent="0.3">
      <c r="A187" s="7">
        <f t="shared" si="10"/>
        <v>0</v>
      </c>
      <c r="B187" s="8" t="str">
        <f t="shared" si="9"/>
        <v>0.00</v>
      </c>
      <c r="C187" s="29" t="str">
        <f>IF(COUNTIFS(Budget_items[Subheaders],'Data entry'!A187)&lt;10,".0"&amp;COUNTIFS(Budget_items[Subheaders],'Data entry'!A187),"."&amp;COUNTIFS(Budget_items[Subheaders],'Data entry'!A187))</f>
        <v>.00</v>
      </c>
    </row>
    <row r="188" spans="1:3" x14ac:dyDescent="0.3">
      <c r="A188" s="7">
        <f t="shared" si="10"/>
        <v>0</v>
      </c>
      <c r="B188" s="8" t="str">
        <f t="shared" si="9"/>
        <v>0.00</v>
      </c>
      <c r="C188" s="29" t="str">
        <f>IF(COUNTIFS(Budget_items[Subheaders],'Data entry'!A188)&lt;10,".0"&amp;COUNTIFS(Budget_items[Subheaders],'Data entry'!A188),"."&amp;COUNTIFS(Budget_items[Subheaders],'Data entry'!A188))</f>
        <v>.00</v>
      </c>
    </row>
    <row r="189" spans="1:3" x14ac:dyDescent="0.3">
      <c r="A189" s="7">
        <f t="shared" si="10"/>
        <v>0</v>
      </c>
      <c r="B189" s="8" t="str">
        <f t="shared" si="9"/>
        <v>0.00</v>
      </c>
      <c r="C189" s="29" t="str">
        <f>IF(COUNTIFS(Budget_items[Subheaders],'Data entry'!A189)&lt;10,".0"&amp;COUNTIFS(Budget_items[Subheaders],'Data entry'!A189),"."&amp;COUNTIFS(Budget_items[Subheaders],'Data entry'!A189))</f>
        <v>.00</v>
      </c>
    </row>
    <row r="190" spans="1:3" x14ac:dyDescent="0.3">
      <c r="A190" s="7">
        <f t="shared" si="10"/>
        <v>0</v>
      </c>
      <c r="B190" s="8" t="str">
        <f t="shared" si="9"/>
        <v>0.00</v>
      </c>
      <c r="C190" s="29" t="str">
        <f>IF(COUNTIFS(Budget_items[Subheaders],'Data entry'!A190)&lt;10,".0"&amp;COUNTIFS(Budget_items[Subheaders],'Data entry'!A190),"."&amp;COUNTIFS(Budget_items[Subheaders],'Data entry'!A190))</f>
        <v>.00</v>
      </c>
    </row>
    <row r="191" spans="1:3" x14ac:dyDescent="0.3">
      <c r="A191" s="7">
        <f t="shared" si="10"/>
        <v>0</v>
      </c>
      <c r="B191" s="8" t="str">
        <f t="shared" si="9"/>
        <v>0.00</v>
      </c>
      <c r="C191" s="29" t="str">
        <f>IF(COUNTIFS(Budget_items[Subheaders],'Data entry'!A191)&lt;10,".0"&amp;COUNTIFS(Budget_items[Subheaders],'Data entry'!A191),"."&amp;COUNTIFS(Budget_items[Subheaders],'Data entry'!A191))</f>
        <v>.00</v>
      </c>
    </row>
    <row r="192" spans="1:3" x14ac:dyDescent="0.3">
      <c r="A192" s="7">
        <f t="shared" si="10"/>
        <v>0</v>
      </c>
      <c r="B192" s="8" t="str">
        <f t="shared" si="9"/>
        <v>0.00</v>
      </c>
      <c r="C192" s="29" t="str">
        <f>IF(COUNTIFS(Budget_items[Subheaders],'Data entry'!A192)&lt;10,".0"&amp;COUNTIFS(Budget_items[Subheaders],'Data entry'!A192),"."&amp;COUNTIFS(Budget_items[Subheaders],'Data entry'!A192))</f>
        <v>.00</v>
      </c>
    </row>
    <row r="193" spans="1:3" x14ac:dyDescent="0.3">
      <c r="A193" s="7">
        <f t="shared" si="10"/>
        <v>0</v>
      </c>
      <c r="B193" s="8" t="str">
        <f t="shared" si="9"/>
        <v>0.00</v>
      </c>
      <c r="C193" s="29" t="str">
        <f>IF(COUNTIFS(Budget_items[Subheaders],'Data entry'!A193)&lt;10,".0"&amp;COUNTIFS(Budget_items[Subheaders],'Data entry'!A193),"."&amp;COUNTIFS(Budget_items[Subheaders],'Data entry'!A193))</f>
        <v>.00</v>
      </c>
    </row>
    <row r="194" spans="1:3" x14ac:dyDescent="0.3">
      <c r="A194" s="7">
        <f t="shared" si="10"/>
        <v>0</v>
      </c>
      <c r="B194" s="8" t="str">
        <f t="shared" si="9"/>
        <v>0.00</v>
      </c>
      <c r="C194" s="29" t="str">
        <f>IF(COUNTIFS(Budget_items[Subheaders],'Data entry'!A194)&lt;10,".0"&amp;COUNTIFS(Budget_items[Subheaders],'Data entry'!A194),"."&amp;COUNTIFS(Budget_items[Subheaders],'Data entry'!A194))</f>
        <v>.00</v>
      </c>
    </row>
    <row r="195" spans="1:3" x14ac:dyDescent="0.3">
      <c r="A195" s="7">
        <f t="shared" si="10"/>
        <v>0</v>
      </c>
      <c r="B195" s="8" t="str">
        <f t="shared" ref="B195:B258" si="11">LEFT(A195,4)&amp;C195</f>
        <v>0.00</v>
      </c>
      <c r="C195" s="29" t="str">
        <f>IF(COUNTIFS(Budget_items[Subheaders],'Data entry'!A195)&lt;10,".0"&amp;COUNTIFS(Budget_items[Subheaders],'Data entry'!A195),"."&amp;COUNTIFS(Budget_items[Subheaders],'Data entry'!A195))</f>
        <v>.00</v>
      </c>
    </row>
    <row r="196" spans="1:3" x14ac:dyDescent="0.3">
      <c r="A196" s="7">
        <f t="shared" si="10"/>
        <v>0</v>
      </c>
      <c r="B196" s="8" t="str">
        <f t="shared" si="11"/>
        <v>0.00</v>
      </c>
      <c r="C196" s="29" t="str">
        <f>IF(COUNTIFS(Budget_items[Subheaders],'Data entry'!A196)&lt;10,".0"&amp;COUNTIFS(Budget_items[Subheaders],'Data entry'!A196),"."&amp;COUNTIFS(Budget_items[Subheaders],'Data entry'!A196))</f>
        <v>.00</v>
      </c>
    </row>
    <row r="197" spans="1:3" x14ac:dyDescent="0.3">
      <c r="A197" s="7">
        <f t="shared" si="10"/>
        <v>0</v>
      </c>
      <c r="B197" s="8" t="str">
        <f t="shared" si="11"/>
        <v>0.00</v>
      </c>
      <c r="C197" s="29" t="str">
        <f>IF(COUNTIFS(Budget_items[Subheaders],'Data entry'!A197)&lt;10,".0"&amp;COUNTIFS(Budget_items[Subheaders],'Data entry'!A197),"."&amp;COUNTIFS(Budget_items[Subheaders],'Data entry'!A197))</f>
        <v>.00</v>
      </c>
    </row>
    <row r="198" spans="1:3" x14ac:dyDescent="0.3">
      <c r="A198" s="7">
        <f t="shared" si="10"/>
        <v>0</v>
      </c>
      <c r="B198" s="8" t="str">
        <f t="shared" si="11"/>
        <v>0.00</v>
      </c>
      <c r="C198" s="29" t="str">
        <f>IF(COUNTIFS(Budget_items[Subheaders],'Data entry'!A198)&lt;10,".0"&amp;COUNTIFS(Budget_items[Subheaders],'Data entry'!A198),"."&amp;COUNTIFS(Budget_items[Subheaders],'Data entry'!A198))</f>
        <v>.00</v>
      </c>
    </row>
    <row r="199" spans="1:3" x14ac:dyDescent="0.3">
      <c r="A199" s="7">
        <f t="shared" si="10"/>
        <v>0</v>
      </c>
      <c r="B199" s="8" t="str">
        <f t="shared" si="11"/>
        <v>0.00</v>
      </c>
      <c r="C199" s="29" t="str">
        <f>IF(COUNTIFS(Budget_items[Subheaders],'Data entry'!A199)&lt;10,".0"&amp;COUNTIFS(Budget_items[Subheaders],'Data entry'!A199),"."&amp;COUNTIFS(Budget_items[Subheaders],'Data entry'!A199))</f>
        <v>.00</v>
      </c>
    </row>
    <row r="200" spans="1:3" x14ac:dyDescent="0.3">
      <c r="A200" s="7">
        <f t="shared" si="10"/>
        <v>0</v>
      </c>
      <c r="B200" s="8" t="str">
        <f t="shared" si="11"/>
        <v>0.00</v>
      </c>
      <c r="C200" s="29" t="str">
        <f>IF(COUNTIFS(Budget_items[Subheaders],'Data entry'!A200)&lt;10,".0"&amp;COUNTIFS(Budget_items[Subheaders],'Data entry'!A200),"."&amp;COUNTIFS(Budget_items[Subheaders],'Data entry'!A200))</f>
        <v>.00</v>
      </c>
    </row>
    <row r="201" spans="1:3" x14ac:dyDescent="0.3">
      <c r="A201" s="7">
        <f t="shared" si="10"/>
        <v>0</v>
      </c>
      <c r="B201" s="8" t="str">
        <f t="shared" si="11"/>
        <v>0.00</v>
      </c>
      <c r="C201" s="29" t="str">
        <f>IF(COUNTIFS(Budget_items[Subheaders],'Data entry'!A201)&lt;10,".0"&amp;COUNTIFS(Budget_items[Subheaders],'Data entry'!A201),"."&amp;COUNTIFS(Budget_items[Subheaders],'Data entry'!A201))</f>
        <v>.00</v>
      </c>
    </row>
    <row r="202" spans="1:3" x14ac:dyDescent="0.3">
      <c r="A202" s="7">
        <f t="shared" si="10"/>
        <v>0</v>
      </c>
      <c r="B202" s="8" t="str">
        <f t="shared" si="11"/>
        <v>0.00</v>
      </c>
      <c r="C202" s="29" t="str">
        <f>IF(COUNTIFS(Budget_items[Subheaders],'Data entry'!A202)&lt;10,".0"&amp;COUNTIFS(Budget_items[Subheaders],'Data entry'!A202),"."&amp;COUNTIFS(Budget_items[Subheaders],'Data entry'!A202))</f>
        <v>.00</v>
      </c>
    </row>
    <row r="203" spans="1:3" x14ac:dyDescent="0.3">
      <c r="A203" s="7">
        <f t="shared" si="10"/>
        <v>0</v>
      </c>
      <c r="B203" s="8" t="str">
        <f t="shared" si="11"/>
        <v>0.00</v>
      </c>
      <c r="C203" s="29" t="str">
        <f>IF(COUNTIFS(Budget_items[Subheaders],'Data entry'!A203)&lt;10,".0"&amp;COUNTIFS(Budget_items[Subheaders],'Data entry'!A203),"."&amp;COUNTIFS(Budget_items[Subheaders],'Data entry'!A203))</f>
        <v>.00</v>
      </c>
    </row>
    <row r="204" spans="1:3" x14ac:dyDescent="0.3">
      <c r="A204" s="7">
        <f t="shared" si="10"/>
        <v>0</v>
      </c>
      <c r="B204" s="8" t="str">
        <f t="shared" si="11"/>
        <v>0.00</v>
      </c>
      <c r="C204" s="29" t="str">
        <f>IF(COUNTIFS(Budget_items[Subheaders],'Data entry'!A204)&lt;10,".0"&amp;COUNTIFS(Budget_items[Subheaders],'Data entry'!A204),"."&amp;COUNTIFS(Budget_items[Subheaders],'Data entry'!A204))</f>
        <v>.00</v>
      </c>
    </row>
    <row r="205" spans="1:3" x14ac:dyDescent="0.3">
      <c r="A205" s="7">
        <f t="shared" si="10"/>
        <v>0</v>
      </c>
      <c r="B205" s="8" t="str">
        <f t="shared" si="11"/>
        <v>0.00</v>
      </c>
      <c r="C205" s="29" t="str">
        <f>IF(COUNTIFS(Budget_items[Subheaders],'Data entry'!A205)&lt;10,".0"&amp;COUNTIFS(Budget_items[Subheaders],'Data entry'!A205),"."&amp;COUNTIFS(Budget_items[Subheaders],'Data entry'!A205))</f>
        <v>.00</v>
      </c>
    </row>
    <row r="206" spans="1:3" x14ac:dyDescent="0.3">
      <c r="A206" s="7">
        <f t="shared" si="10"/>
        <v>0</v>
      </c>
      <c r="B206" s="8" t="str">
        <f t="shared" si="11"/>
        <v>0.00</v>
      </c>
      <c r="C206" s="29" t="str">
        <f>IF(COUNTIFS(Budget_items[Subheaders],'Data entry'!A206)&lt;10,".0"&amp;COUNTIFS(Budget_items[Subheaders],'Data entry'!A206),"."&amp;COUNTIFS(Budget_items[Subheaders],'Data entry'!A206))</f>
        <v>.00</v>
      </c>
    </row>
    <row r="207" spans="1:3" x14ac:dyDescent="0.3">
      <c r="A207" s="7">
        <f t="shared" si="10"/>
        <v>0</v>
      </c>
      <c r="B207" s="8" t="str">
        <f t="shared" si="11"/>
        <v>0.00</v>
      </c>
      <c r="C207" s="29" t="str">
        <f>IF(COUNTIFS(Budget_items[Subheaders],'Data entry'!A207)&lt;10,".0"&amp;COUNTIFS(Budget_items[Subheaders],'Data entry'!A207),"."&amp;COUNTIFS(Budget_items[Subheaders],'Data entry'!A207))</f>
        <v>.00</v>
      </c>
    </row>
    <row r="208" spans="1:3" x14ac:dyDescent="0.3">
      <c r="A208" s="7">
        <f t="shared" si="10"/>
        <v>0</v>
      </c>
      <c r="B208" s="8" t="str">
        <f t="shared" si="11"/>
        <v>0.00</v>
      </c>
      <c r="C208" s="29" t="str">
        <f>IF(COUNTIFS(Budget_items[Subheaders],'Data entry'!A208)&lt;10,".0"&amp;COUNTIFS(Budget_items[Subheaders],'Data entry'!A208),"."&amp;COUNTIFS(Budget_items[Subheaders],'Data entry'!A208))</f>
        <v>.00</v>
      </c>
    </row>
    <row r="209" spans="1:3" x14ac:dyDescent="0.3">
      <c r="A209" s="7">
        <f t="shared" si="10"/>
        <v>0</v>
      </c>
      <c r="B209" s="8" t="str">
        <f t="shared" si="11"/>
        <v>0.00</v>
      </c>
      <c r="C209" s="29" t="str">
        <f>IF(COUNTIFS(Budget_items[Subheaders],'Data entry'!A209)&lt;10,".0"&amp;COUNTIFS(Budget_items[Subheaders],'Data entry'!A209),"."&amp;COUNTIFS(Budget_items[Subheaders],'Data entry'!A209))</f>
        <v>.00</v>
      </c>
    </row>
    <row r="210" spans="1:3" x14ac:dyDescent="0.3">
      <c r="A210" s="7">
        <f t="shared" si="10"/>
        <v>0</v>
      </c>
      <c r="B210" s="8" t="str">
        <f t="shared" si="11"/>
        <v>0.00</v>
      </c>
      <c r="C210" s="29" t="str">
        <f>IF(COUNTIFS(Budget_items[Subheaders],'Data entry'!A210)&lt;10,".0"&amp;COUNTIFS(Budget_items[Subheaders],'Data entry'!A210),"."&amp;COUNTIFS(Budget_items[Subheaders],'Data entry'!A210))</f>
        <v>.00</v>
      </c>
    </row>
    <row r="211" spans="1:3" x14ac:dyDescent="0.3">
      <c r="A211" s="7">
        <f t="shared" si="10"/>
        <v>0</v>
      </c>
      <c r="B211" s="8" t="str">
        <f t="shared" si="11"/>
        <v>0.00</v>
      </c>
      <c r="C211" s="29" t="str">
        <f>IF(COUNTIFS(Budget_items[Subheaders],'Data entry'!A211)&lt;10,".0"&amp;COUNTIFS(Budget_items[Subheaders],'Data entry'!A211),"."&amp;COUNTIFS(Budget_items[Subheaders],'Data entry'!A211))</f>
        <v>.00</v>
      </c>
    </row>
    <row r="212" spans="1:3" x14ac:dyDescent="0.3">
      <c r="A212" s="7">
        <f t="shared" si="10"/>
        <v>0</v>
      </c>
      <c r="B212" s="8" t="str">
        <f t="shared" si="11"/>
        <v>0.00</v>
      </c>
      <c r="C212" s="29" t="str">
        <f>IF(COUNTIFS(Budget_items[Subheaders],'Data entry'!A212)&lt;10,".0"&amp;COUNTIFS(Budget_items[Subheaders],'Data entry'!A212),"."&amp;COUNTIFS(Budget_items[Subheaders],'Data entry'!A212))</f>
        <v>.00</v>
      </c>
    </row>
    <row r="213" spans="1:3" x14ac:dyDescent="0.3">
      <c r="A213" s="7">
        <f t="shared" si="10"/>
        <v>0</v>
      </c>
      <c r="B213" s="8" t="str">
        <f t="shared" si="11"/>
        <v>0.00</v>
      </c>
      <c r="C213" s="29" t="str">
        <f>IF(COUNTIFS(Budget_items[Subheaders],'Data entry'!A213)&lt;10,".0"&amp;COUNTIFS(Budget_items[Subheaders],'Data entry'!A213),"."&amp;COUNTIFS(Budget_items[Subheaders],'Data entry'!A213))</f>
        <v>.00</v>
      </c>
    </row>
    <row r="214" spans="1:3" x14ac:dyDescent="0.3">
      <c r="A214" s="7">
        <f t="shared" si="10"/>
        <v>0</v>
      </c>
      <c r="B214" s="8" t="str">
        <f t="shared" si="11"/>
        <v>0.00</v>
      </c>
      <c r="C214" s="29" t="str">
        <f>IF(COUNTIFS(Budget_items[Subheaders],'Data entry'!A214)&lt;10,".0"&amp;COUNTIFS(Budget_items[Subheaders],'Data entry'!A214),"."&amp;COUNTIFS(Budget_items[Subheaders],'Data entry'!A214))</f>
        <v>.00</v>
      </c>
    </row>
    <row r="215" spans="1:3" x14ac:dyDescent="0.3">
      <c r="A215" s="7">
        <f t="shared" si="10"/>
        <v>0</v>
      </c>
      <c r="B215" s="8" t="str">
        <f t="shared" si="11"/>
        <v>0.00</v>
      </c>
      <c r="C215" s="29" t="str">
        <f>IF(COUNTIFS(Budget_items[Subheaders],'Data entry'!A215)&lt;10,".0"&amp;COUNTIFS(Budget_items[Subheaders],'Data entry'!A215),"."&amp;COUNTIFS(Budget_items[Subheaders],'Data entry'!A215))</f>
        <v>.00</v>
      </c>
    </row>
    <row r="216" spans="1:3" x14ac:dyDescent="0.3">
      <c r="A216" s="7">
        <f t="shared" si="10"/>
        <v>0</v>
      </c>
      <c r="B216" s="8" t="str">
        <f t="shared" si="11"/>
        <v>0.00</v>
      </c>
      <c r="C216" s="29" t="str">
        <f>IF(COUNTIFS(Budget_items[Subheaders],'Data entry'!A216)&lt;10,".0"&amp;COUNTIFS(Budget_items[Subheaders],'Data entry'!A216),"."&amp;COUNTIFS(Budget_items[Subheaders],'Data entry'!A216))</f>
        <v>.00</v>
      </c>
    </row>
    <row r="217" spans="1:3" x14ac:dyDescent="0.3">
      <c r="A217" s="7">
        <f t="shared" si="10"/>
        <v>0</v>
      </c>
      <c r="B217" s="8" t="str">
        <f t="shared" si="11"/>
        <v>0.00</v>
      </c>
      <c r="C217" s="29" t="str">
        <f>IF(COUNTIFS(Budget_items[Subheaders],'Data entry'!A217)&lt;10,".0"&amp;COUNTIFS(Budget_items[Subheaders],'Data entry'!A217),"."&amp;COUNTIFS(Budget_items[Subheaders],'Data entry'!A217))</f>
        <v>.00</v>
      </c>
    </row>
    <row r="218" spans="1:3" x14ac:dyDescent="0.3">
      <c r="A218" s="7">
        <f t="shared" ref="A218:A281" si="12">P220</f>
        <v>0</v>
      </c>
      <c r="B218" s="8" t="str">
        <f t="shared" si="11"/>
        <v>0.00</v>
      </c>
      <c r="C218" s="29" t="str">
        <f>IF(COUNTIFS(Budget_items[Subheaders],'Data entry'!A218)&lt;10,".0"&amp;COUNTIFS(Budget_items[Subheaders],'Data entry'!A218),"."&amp;COUNTIFS(Budget_items[Subheaders],'Data entry'!A218))</f>
        <v>.00</v>
      </c>
    </row>
    <row r="219" spans="1:3" x14ac:dyDescent="0.3">
      <c r="A219" s="7">
        <f t="shared" si="12"/>
        <v>0</v>
      </c>
      <c r="B219" s="8" t="str">
        <f t="shared" si="11"/>
        <v>0.00</v>
      </c>
      <c r="C219" s="29" t="str">
        <f>IF(COUNTIFS(Budget_items[Subheaders],'Data entry'!A219)&lt;10,".0"&amp;COUNTIFS(Budget_items[Subheaders],'Data entry'!A219),"."&amp;COUNTIFS(Budget_items[Subheaders],'Data entry'!A219))</f>
        <v>.00</v>
      </c>
    </row>
    <row r="220" spans="1:3" x14ac:dyDescent="0.3">
      <c r="A220" s="7">
        <f t="shared" si="12"/>
        <v>0</v>
      </c>
      <c r="B220" s="8" t="str">
        <f t="shared" si="11"/>
        <v>0.00</v>
      </c>
      <c r="C220" s="29" t="str">
        <f>IF(COUNTIFS(Budget_items[Subheaders],'Data entry'!A220)&lt;10,".0"&amp;COUNTIFS(Budget_items[Subheaders],'Data entry'!A220),"."&amp;COUNTIFS(Budget_items[Subheaders],'Data entry'!A220))</f>
        <v>.00</v>
      </c>
    </row>
    <row r="221" spans="1:3" x14ac:dyDescent="0.3">
      <c r="A221" s="7">
        <f t="shared" si="12"/>
        <v>0</v>
      </c>
      <c r="B221" s="8" t="str">
        <f t="shared" si="11"/>
        <v>0.00</v>
      </c>
      <c r="C221" s="29" t="str">
        <f>IF(COUNTIFS(Budget_items[Subheaders],'Data entry'!A221)&lt;10,".0"&amp;COUNTIFS(Budget_items[Subheaders],'Data entry'!A221),"."&amp;COUNTIFS(Budget_items[Subheaders],'Data entry'!A221))</f>
        <v>.00</v>
      </c>
    </row>
    <row r="222" spans="1:3" x14ac:dyDescent="0.3">
      <c r="A222" s="7">
        <f t="shared" si="12"/>
        <v>0</v>
      </c>
      <c r="B222" s="8" t="str">
        <f t="shared" si="11"/>
        <v>0.00</v>
      </c>
      <c r="C222" s="29" t="str">
        <f>IF(COUNTIFS(Budget_items[Subheaders],'Data entry'!A222)&lt;10,".0"&amp;COUNTIFS(Budget_items[Subheaders],'Data entry'!A222),"."&amp;COUNTIFS(Budget_items[Subheaders],'Data entry'!A222))</f>
        <v>.00</v>
      </c>
    </row>
    <row r="223" spans="1:3" x14ac:dyDescent="0.3">
      <c r="A223" s="7">
        <f t="shared" si="12"/>
        <v>0</v>
      </c>
      <c r="B223" s="8" t="str">
        <f t="shared" si="11"/>
        <v>0.00</v>
      </c>
      <c r="C223" s="29" t="str">
        <f>IF(COUNTIFS(Budget_items[Subheaders],'Data entry'!A223)&lt;10,".0"&amp;COUNTIFS(Budget_items[Subheaders],'Data entry'!A223),"."&amp;COUNTIFS(Budget_items[Subheaders],'Data entry'!A223))</f>
        <v>.00</v>
      </c>
    </row>
    <row r="224" spans="1:3" x14ac:dyDescent="0.3">
      <c r="A224" s="7">
        <f t="shared" si="12"/>
        <v>0</v>
      </c>
      <c r="B224" s="8" t="str">
        <f t="shared" si="11"/>
        <v>0.00</v>
      </c>
      <c r="C224" s="29" t="str">
        <f>IF(COUNTIFS(Budget_items[Subheaders],'Data entry'!A224)&lt;10,".0"&amp;COUNTIFS(Budget_items[Subheaders],'Data entry'!A224),"."&amp;COUNTIFS(Budget_items[Subheaders],'Data entry'!A224))</f>
        <v>.00</v>
      </c>
    </row>
    <row r="225" spans="1:3" x14ac:dyDescent="0.3">
      <c r="A225" s="7">
        <f t="shared" si="12"/>
        <v>0</v>
      </c>
      <c r="B225" s="8" t="str">
        <f t="shared" si="11"/>
        <v>0.00</v>
      </c>
      <c r="C225" s="29" t="str">
        <f>IF(COUNTIFS(Budget_items[Subheaders],'Data entry'!A225)&lt;10,".0"&amp;COUNTIFS(Budget_items[Subheaders],'Data entry'!A225),"."&amp;COUNTIFS(Budget_items[Subheaders],'Data entry'!A225))</f>
        <v>.00</v>
      </c>
    </row>
    <row r="226" spans="1:3" x14ac:dyDescent="0.3">
      <c r="A226" s="7">
        <f t="shared" si="12"/>
        <v>0</v>
      </c>
      <c r="B226" s="8" t="str">
        <f t="shared" si="11"/>
        <v>0.00</v>
      </c>
      <c r="C226" s="29" t="str">
        <f>IF(COUNTIFS(Budget_items[Subheaders],'Data entry'!A226)&lt;10,".0"&amp;COUNTIFS(Budget_items[Subheaders],'Data entry'!A226),"."&amp;COUNTIFS(Budget_items[Subheaders],'Data entry'!A226))</f>
        <v>.00</v>
      </c>
    </row>
    <row r="227" spans="1:3" x14ac:dyDescent="0.3">
      <c r="A227" s="7">
        <f t="shared" si="12"/>
        <v>0</v>
      </c>
      <c r="B227" s="8" t="str">
        <f t="shared" si="11"/>
        <v>0.00</v>
      </c>
      <c r="C227" s="29" t="str">
        <f>IF(COUNTIFS(Budget_items[Subheaders],'Data entry'!A227)&lt;10,".0"&amp;COUNTIFS(Budget_items[Subheaders],'Data entry'!A227),"."&amp;COUNTIFS(Budget_items[Subheaders],'Data entry'!A227))</f>
        <v>.00</v>
      </c>
    </row>
    <row r="228" spans="1:3" x14ac:dyDescent="0.3">
      <c r="A228" s="7">
        <f t="shared" si="12"/>
        <v>0</v>
      </c>
      <c r="B228" s="8" t="str">
        <f t="shared" si="11"/>
        <v>0.00</v>
      </c>
      <c r="C228" s="29" t="str">
        <f>IF(COUNTIFS(Budget_items[Subheaders],'Data entry'!A228)&lt;10,".0"&amp;COUNTIFS(Budget_items[Subheaders],'Data entry'!A228),"."&amp;COUNTIFS(Budget_items[Subheaders],'Data entry'!A228))</f>
        <v>.00</v>
      </c>
    </row>
    <row r="229" spans="1:3" x14ac:dyDescent="0.3">
      <c r="A229" s="7">
        <f t="shared" si="12"/>
        <v>0</v>
      </c>
      <c r="B229" s="8" t="str">
        <f t="shared" si="11"/>
        <v>0.00</v>
      </c>
      <c r="C229" s="29" t="str">
        <f>IF(COUNTIFS(Budget_items[Subheaders],'Data entry'!A229)&lt;10,".0"&amp;COUNTIFS(Budget_items[Subheaders],'Data entry'!A229),"."&amp;COUNTIFS(Budget_items[Subheaders],'Data entry'!A229))</f>
        <v>.00</v>
      </c>
    </row>
    <row r="230" spans="1:3" x14ac:dyDescent="0.3">
      <c r="A230" s="7">
        <f t="shared" si="12"/>
        <v>0</v>
      </c>
      <c r="B230" s="8" t="str">
        <f t="shared" si="11"/>
        <v>0.00</v>
      </c>
      <c r="C230" s="29" t="str">
        <f>IF(COUNTIFS(Budget_items[Subheaders],'Data entry'!A230)&lt;10,".0"&amp;COUNTIFS(Budget_items[Subheaders],'Data entry'!A230),"."&amp;COUNTIFS(Budget_items[Subheaders],'Data entry'!A230))</f>
        <v>.00</v>
      </c>
    </row>
    <row r="231" spans="1:3" x14ac:dyDescent="0.3">
      <c r="A231" s="7">
        <f t="shared" si="12"/>
        <v>0</v>
      </c>
      <c r="B231" s="8" t="str">
        <f t="shared" si="11"/>
        <v>0.00</v>
      </c>
      <c r="C231" s="29" t="str">
        <f>IF(COUNTIFS(Budget_items[Subheaders],'Data entry'!A231)&lt;10,".0"&amp;COUNTIFS(Budget_items[Subheaders],'Data entry'!A231),"."&amp;COUNTIFS(Budget_items[Subheaders],'Data entry'!A231))</f>
        <v>.00</v>
      </c>
    </row>
    <row r="232" spans="1:3" x14ac:dyDescent="0.3">
      <c r="A232" s="7">
        <f t="shared" si="12"/>
        <v>0</v>
      </c>
      <c r="B232" s="8" t="str">
        <f t="shared" si="11"/>
        <v>0.00</v>
      </c>
      <c r="C232" s="29" t="str">
        <f>IF(COUNTIFS(Budget_items[Subheaders],'Data entry'!A232)&lt;10,".0"&amp;COUNTIFS(Budget_items[Subheaders],'Data entry'!A232),"."&amp;COUNTIFS(Budget_items[Subheaders],'Data entry'!A232))</f>
        <v>.00</v>
      </c>
    </row>
    <row r="233" spans="1:3" x14ac:dyDescent="0.3">
      <c r="A233" s="7">
        <f t="shared" si="12"/>
        <v>0</v>
      </c>
      <c r="B233" s="8" t="str">
        <f t="shared" si="11"/>
        <v>0.00</v>
      </c>
      <c r="C233" s="29" t="str">
        <f>IF(COUNTIFS(Budget_items[Subheaders],'Data entry'!A233)&lt;10,".0"&amp;COUNTIFS(Budget_items[Subheaders],'Data entry'!A233),"."&amp;COUNTIFS(Budget_items[Subheaders],'Data entry'!A233))</f>
        <v>.00</v>
      </c>
    </row>
    <row r="234" spans="1:3" x14ac:dyDescent="0.3">
      <c r="A234" s="7">
        <f t="shared" si="12"/>
        <v>0</v>
      </c>
      <c r="B234" s="8" t="str">
        <f t="shared" si="11"/>
        <v>0.00</v>
      </c>
      <c r="C234" s="29" t="str">
        <f>IF(COUNTIFS(Budget_items[Subheaders],'Data entry'!A234)&lt;10,".0"&amp;COUNTIFS(Budget_items[Subheaders],'Data entry'!A234),"."&amp;COUNTIFS(Budget_items[Subheaders],'Data entry'!A234))</f>
        <v>.00</v>
      </c>
    </row>
    <row r="235" spans="1:3" x14ac:dyDescent="0.3">
      <c r="A235" s="7">
        <f t="shared" si="12"/>
        <v>0</v>
      </c>
      <c r="B235" s="8" t="str">
        <f t="shared" si="11"/>
        <v>0.00</v>
      </c>
      <c r="C235" s="29" t="str">
        <f>IF(COUNTIFS(Budget_items[Subheaders],'Data entry'!A235)&lt;10,".0"&amp;COUNTIFS(Budget_items[Subheaders],'Data entry'!A235),"."&amp;COUNTIFS(Budget_items[Subheaders],'Data entry'!A235))</f>
        <v>.00</v>
      </c>
    </row>
    <row r="236" spans="1:3" x14ac:dyDescent="0.3">
      <c r="A236" s="7">
        <f t="shared" si="12"/>
        <v>0</v>
      </c>
      <c r="B236" s="8" t="str">
        <f t="shared" si="11"/>
        <v>0.00</v>
      </c>
      <c r="C236" s="29" t="str">
        <f>IF(COUNTIFS(Budget_items[Subheaders],'Data entry'!A236)&lt;10,".0"&amp;COUNTIFS(Budget_items[Subheaders],'Data entry'!A236),"."&amp;COUNTIFS(Budget_items[Subheaders],'Data entry'!A236))</f>
        <v>.00</v>
      </c>
    </row>
    <row r="237" spans="1:3" x14ac:dyDescent="0.3">
      <c r="A237" s="7">
        <f t="shared" si="12"/>
        <v>0</v>
      </c>
      <c r="B237" s="8" t="str">
        <f t="shared" si="11"/>
        <v>0.00</v>
      </c>
      <c r="C237" s="29" t="str">
        <f>IF(COUNTIFS(Budget_items[Subheaders],'Data entry'!A237)&lt;10,".0"&amp;COUNTIFS(Budget_items[Subheaders],'Data entry'!A237),"."&amp;COUNTIFS(Budget_items[Subheaders],'Data entry'!A237))</f>
        <v>.00</v>
      </c>
    </row>
    <row r="238" spans="1:3" x14ac:dyDescent="0.3">
      <c r="A238" s="7">
        <f t="shared" si="12"/>
        <v>0</v>
      </c>
      <c r="B238" s="8" t="str">
        <f t="shared" si="11"/>
        <v>0.00</v>
      </c>
      <c r="C238" s="29" t="str">
        <f>IF(COUNTIFS(Budget_items[Subheaders],'Data entry'!A238)&lt;10,".0"&amp;COUNTIFS(Budget_items[Subheaders],'Data entry'!A238),"."&amp;COUNTIFS(Budget_items[Subheaders],'Data entry'!A238))</f>
        <v>.00</v>
      </c>
    </row>
    <row r="239" spans="1:3" x14ac:dyDescent="0.3">
      <c r="A239" s="7">
        <f t="shared" si="12"/>
        <v>0</v>
      </c>
      <c r="B239" s="8" t="str">
        <f t="shared" si="11"/>
        <v>0.00</v>
      </c>
      <c r="C239" s="29" t="str">
        <f>IF(COUNTIFS(Budget_items[Subheaders],'Data entry'!A239)&lt;10,".0"&amp;COUNTIFS(Budget_items[Subheaders],'Data entry'!A239),"."&amp;COUNTIFS(Budget_items[Subheaders],'Data entry'!A239))</f>
        <v>.00</v>
      </c>
    </row>
    <row r="240" spans="1:3" x14ac:dyDescent="0.3">
      <c r="A240" s="7">
        <f t="shared" si="12"/>
        <v>0</v>
      </c>
      <c r="B240" s="8" t="str">
        <f t="shared" si="11"/>
        <v>0.00</v>
      </c>
      <c r="C240" s="29" t="str">
        <f>IF(COUNTIFS(Budget_items[Subheaders],'Data entry'!A240)&lt;10,".0"&amp;COUNTIFS(Budget_items[Subheaders],'Data entry'!A240),"."&amp;COUNTIFS(Budget_items[Subheaders],'Data entry'!A240))</f>
        <v>.00</v>
      </c>
    </row>
    <row r="241" spans="1:3" x14ac:dyDescent="0.3">
      <c r="A241" s="7">
        <f t="shared" si="12"/>
        <v>0</v>
      </c>
      <c r="B241" s="8" t="str">
        <f t="shared" si="11"/>
        <v>0.00</v>
      </c>
      <c r="C241" s="29" t="str">
        <f>IF(COUNTIFS(Budget_items[Subheaders],'Data entry'!A241)&lt;10,".0"&amp;COUNTIFS(Budget_items[Subheaders],'Data entry'!A241),"."&amp;COUNTIFS(Budget_items[Subheaders],'Data entry'!A241))</f>
        <v>.00</v>
      </c>
    </row>
    <row r="242" spans="1:3" x14ac:dyDescent="0.3">
      <c r="A242" s="7">
        <f t="shared" si="12"/>
        <v>0</v>
      </c>
      <c r="B242" s="8" t="str">
        <f t="shared" si="11"/>
        <v>0.00</v>
      </c>
      <c r="C242" s="29" t="str">
        <f>IF(COUNTIFS(Budget_items[Subheaders],'Data entry'!A242)&lt;10,".0"&amp;COUNTIFS(Budget_items[Subheaders],'Data entry'!A242),"."&amp;COUNTIFS(Budget_items[Subheaders],'Data entry'!A242))</f>
        <v>.00</v>
      </c>
    </row>
    <row r="243" spans="1:3" x14ac:dyDescent="0.3">
      <c r="A243" s="7">
        <f t="shared" si="12"/>
        <v>0</v>
      </c>
      <c r="B243" s="8" t="str">
        <f t="shared" si="11"/>
        <v>0.00</v>
      </c>
      <c r="C243" s="29" t="str">
        <f>IF(COUNTIFS(Budget_items[Subheaders],'Data entry'!A243)&lt;10,".0"&amp;COUNTIFS(Budget_items[Subheaders],'Data entry'!A243),"."&amp;COUNTIFS(Budget_items[Subheaders],'Data entry'!A243))</f>
        <v>.00</v>
      </c>
    </row>
    <row r="244" spans="1:3" x14ac:dyDescent="0.3">
      <c r="A244" s="7">
        <f t="shared" si="12"/>
        <v>0</v>
      </c>
      <c r="B244" s="8" t="str">
        <f t="shared" si="11"/>
        <v>0.00</v>
      </c>
      <c r="C244" s="29" t="str">
        <f>IF(COUNTIFS(Budget_items[Subheaders],'Data entry'!A244)&lt;10,".0"&amp;COUNTIFS(Budget_items[Subheaders],'Data entry'!A244),"."&amp;COUNTIFS(Budget_items[Subheaders],'Data entry'!A244))</f>
        <v>.00</v>
      </c>
    </row>
    <row r="245" spans="1:3" x14ac:dyDescent="0.3">
      <c r="A245" s="7">
        <f t="shared" si="12"/>
        <v>0</v>
      </c>
      <c r="B245" s="8" t="str">
        <f t="shared" si="11"/>
        <v>0.00</v>
      </c>
      <c r="C245" s="29" t="str">
        <f>IF(COUNTIFS(Budget_items[Subheaders],'Data entry'!A245)&lt;10,".0"&amp;COUNTIFS(Budget_items[Subheaders],'Data entry'!A245),"."&amp;COUNTIFS(Budget_items[Subheaders],'Data entry'!A245))</f>
        <v>.00</v>
      </c>
    </row>
    <row r="246" spans="1:3" x14ac:dyDescent="0.3">
      <c r="A246" s="7">
        <f t="shared" si="12"/>
        <v>0</v>
      </c>
      <c r="B246" s="8" t="str">
        <f t="shared" si="11"/>
        <v>0.00</v>
      </c>
      <c r="C246" s="29" t="str">
        <f>IF(COUNTIFS(Budget_items[Subheaders],'Data entry'!A246)&lt;10,".0"&amp;COUNTIFS(Budget_items[Subheaders],'Data entry'!A246),"."&amp;COUNTIFS(Budget_items[Subheaders],'Data entry'!A246))</f>
        <v>.00</v>
      </c>
    </row>
    <row r="247" spans="1:3" x14ac:dyDescent="0.3">
      <c r="A247" s="7">
        <f t="shared" si="12"/>
        <v>0</v>
      </c>
      <c r="B247" s="8" t="str">
        <f t="shared" si="11"/>
        <v>0.00</v>
      </c>
      <c r="C247" s="29" t="str">
        <f>IF(COUNTIFS(Budget_items[Subheaders],'Data entry'!A247)&lt;10,".0"&amp;COUNTIFS(Budget_items[Subheaders],'Data entry'!A247),"."&amp;COUNTIFS(Budget_items[Subheaders],'Data entry'!A247))</f>
        <v>.00</v>
      </c>
    </row>
    <row r="248" spans="1:3" x14ac:dyDescent="0.3">
      <c r="A248" s="7">
        <f t="shared" si="12"/>
        <v>0</v>
      </c>
      <c r="B248" s="8" t="str">
        <f t="shared" si="11"/>
        <v>0.00</v>
      </c>
      <c r="C248" s="29" t="str">
        <f>IF(COUNTIFS(Budget_items[Subheaders],'Data entry'!A248)&lt;10,".0"&amp;COUNTIFS(Budget_items[Subheaders],'Data entry'!A248),"."&amp;COUNTIFS(Budget_items[Subheaders],'Data entry'!A248))</f>
        <v>.00</v>
      </c>
    </row>
    <row r="249" spans="1:3" x14ac:dyDescent="0.3">
      <c r="A249" s="7">
        <f t="shared" si="12"/>
        <v>0</v>
      </c>
      <c r="B249" s="8" t="str">
        <f t="shared" si="11"/>
        <v>0.00</v>
      </c>
      <c r="C249" s="29" t="str">
        <f>IF(COUNTIFS(Budget_items[Subheaders],'Data entry'!A249)&lt;10,".0"&amp;COUNTIFS(Budget_items[Subheaders],'Data entry'!A249),"."&amp;COUNTIFS(Budget_items[Subheaders],'Data entry'!A249))</f>
        <v>.00</v>
      </c>
    </row>
    <row r="250" spans="1:3" x14ac:dyDescent="0.3">
      <c r="A250" s="7">
        <f t="shared" si="12"/>
        <v>0</v>
      </c>
      <c r="B250" s="8" t="str">
        <f t="shared" si="11"/>
        <v>0.00</v>
      </c>
      <c r="C250" s="29" t="str">
        <f>IF(COUNTIFS(Budget_items[Subheaders],'Data entry'!A250)&lt;10,".0"&amp;COUNTIFS(Budget_items[Subheaders],'Data entry'!A250),"."&amp;COUNTIFS(Budget_items[Subheaders],'Data entry'!A250))</f>
        <v>.00</v>
      </c>
    </row>
    <row r="251" spans="1:3" x14ac:dyDescent="0.3">
      <c r="A251" s="7">
        <f t="shared" si="12"/>
        <v>0</v>
      </c>
      <c r="B251" s="8" t="str">
        <f t="shared" si="11"/>
        <v>0.00</v>
      </c>
      <c r="C251" s="29" t="str">
        <f>IF(COUNTIFS(Budget_items[Subheaders],'Data entry'!A251)&lt;10,".0"&amp;COUNTIFS(Budget_items[Subheaders],'Data entry'!A251),"."&amp;COUNTIFS(Budget_items[Subheaders],'Data entry'!A251))</f>
        <v>.00</v>
      </c>
    </row>
    <row r="252" spans="1:3" x14ac:dyDescent="0.3">
      <c r="A252" s="7">
        <f t="shared" si="12"/>
        <v>0</v>
      </c>
      <c r="B252" s="8" t="str">
        <f t="shared" si="11"/>
        <v>0.00</v>
      </c>
      <c r="C252" s="29" t="str">
        <f>IF(COUNTIFS(Budget_items[Subheaders],'Data entry'!A252)&lt;10,".0"&amp;COUNTIFS(Budget_items[Subheaders],'Data entry'!A252),"."&amp;COUNTIFS(Budget_items[Subheaders],'Data entry'!A252))</f>
        <v>.00</v>
      </c>
    </row>
    <row r="253" spans="1:3" x14ac:dyDescent="0.3">
      <c r="A253" s="7">
        <f t="shared" si="12"/>
        <v>0</v>
      </c>
      <c r="B253" s="8" t="str">
        <f t="shared" si="11"/>
        <v>0.00</v>
      </c>
      <c r="C253" s="29" t="str">
        <f>IF(COUNTIFS(Budget_items[Subheaders],'Data entry'!A253)&lt;10,".0"&amp;COUNTIFS(Budget_items[Subheaders],'Data entry'!A253),"."&amp;COUNTIFS(Budget_items[Subheaders],'Data entry'!A253))</f>
        <v>.00</v>
      </c>
    </row>
    <row r="254" spans="1:3" x14ac:dyDescent="0.3">
      <c r="A254" s="7">
        <f t="shared" si="12"/>
        <v>0</v>
      </c>
      <c r="B254" s="8" t="str">
        <f t="shared" si="11"/>
        <v>0.00</v>
      </c>
      <c r="C254" s="29" t="str">
        <f>IF(COUNTIFS(Budget_items[Subheaders],'Data entry'!A254)&lt;10,".0"&amp;COUNTIFS(Budget_items[Subheaders],'Data entry'!A254),"."&amp;COUNTIFS(Budget_items[Subheaders],'Data entry'!A254))</f>
        <v>.00</v>
      </c>
    </row>
    <row r="255" spans="1:3" x14ac:dyDescent="0.3">
      <c r="A255" s="7">
        <f t="shared" si="12"/>
        <v>0</v>
      </c>
      <c r="B255" s="8" t="str">
        <f t="shared" si="11"/>
        <v>0.00</v>
      </c>
      <c r="C255" s="29" t="str">
        <f>IF(COUNTIFS(Budget_items[Subheaders],'Data entry'!A255)&lt;10,".0"&amp;COUNTIFS(Budget_items[Subheaders],'Data entry'!A255),"."&amp;COUNTIFS(Budget_items[Subheaders],'Data entry'!A255))</f>
        <v>.00</v>
      </c>
    </row>
    <row r="256" spans="1:3" x14ac:dyDescent="0.3">
      <c r="A256" s="7">
        <f t="shared" si="12"/>
        <v>0</v>
      </c>
      <c r="B256" s="8" t="str">
        <f t="shared" si="11"/>
        <v>0.00</v>
      </c>
      <c r="C256" s="29" t="str">
        <f>IF(COUNTIFS(Budget_items[Subheaders],'Data entry'!A256)&lt;10,".0"&amp;COUNTIFS(Budget_items[Subheaders],'Data entry'!A256),"."&amp;COUNTIFS(Budget_items[Subheaders],'Data entry'!A256))</f>
        <v>.00</v>
      </c>
    </row>
    <row r="257" spans="1:3" x14ac:dyDescent="0.3">
      <c r="A257" s="7">
        <f t="shared" si="12"/>
        <v>0</v>
      </c>
      <c r="B257" s="8" t="str">
        <f t="shared" si="11"/>
        <v>0.00</v>
      </c>
      <c r="C257" s="29" t="str">
        <f>IF(COUNTIFS(Budget_items[Subheaders],'Data entry'!A257)&lt;10,".0"&amp;COUNTIFS(Budget_items[Subheaders],'Data entry'!A257),"."&amp;COUNTIFS(Budget_items[Subheaders],'Data entry'!A257))</f>
        <v>.00</v>
      </c>
    </row>
    <row r="258" spans="1:3" x14ac:dyDescent="0.3">
      <c r="A258" s="7">
        <f t="shared" si="12"/>
        <v>0</v>
      </c>
      <c r="B258" s="8" t="str">
        <f t="shared" si="11"/>
        <v>0.00</v>
      </c>
      <c r="C258" s="29" t="str">
        <f>IF(COUNTIFS(Budget_items[Subheaders],'Data entry'!A258)&lt;10,".0"&amp;COUNTIFS(Budget_items[Subheaders],'Data entry'!A258),"."&amp;COUNTIFS(Budget_items[Subheaders],'Data entry'!A258))</f>
        <v>.00</v>
      </c>
    </row>
    <row r="259" spans="1:3" x14ac:dyDescent="0.3">
      <c r="A259" s="7">
        <f t="shared" si="12"/>
        <v>0</v>
      </c>
      <c r="B259" s="8" t="str">
        <f t="shared" ref="B259:B322" si="13">LEFT(A259,4)&amp;C259</f>
        <v>0.00</v>
      </c>
      <c r="C259" s="29" t="str">
        <f>IF(COUNTIFS(Budget_items[Subheaders],'Data entry'!A259)&lt;10,".0"&amp;COUNTIFS(Budget_items[Subheaders],'Data entry'!A259),"."&amp;COUNTIFS(Budget_items[Subheaders],'Data entry'!A259))</f>
        <v>.00</v>
      </c>
    </row>
    <row r="260" spans="1:3" x14ac:dyDescent="0.3">
      <c r="A260" s="7">
        <f t="shared" si="12"/>
        <v>0</v>
      </c>
      <c r="B260" s="8" t="str">
        <f t="shared" si="13"/>
        <v>0.00</v>
      </c>
      <c r="C260" s="29" t="str">
        <f>IF(COUNTIFS(Budget_items[Subheaders],'Data entry'!A260)&lt;10,".0"&amp;COUNTIFS(Budget_items[Subheaders],'Data entry'!A260),"."&amp;COUNTIFS(Budget_items[Subheaders],'Data entry'!A260))</f>
        <v>.00</v>
      </c>
    </row>
    <row r="261" spans="1:3" x14ac:dyDescent="0.3">
      <c r="A261" s="7">
        <f t="shared" si="12"/>
        <v>0</v>
      </c>
      <c r="B261" s="8" t="str">
        <f t="shared" si="13"/>
        <v>0.00</v>
      </c>
      <c r="C261" s="29" t="str">
        <f>IF(COUNTIFS(Budget_items[Subheaders],'Data entry'!A261)&lt;10,".0"&amp;COUNTIFS(Budget_items[Subheaders],'Data entry'!A261),"."&amp;COUNTIFS(Budget_items[Subheaders],'Data entry'!A261))</f>
        <v>.00</v>
      </c>
    </row>
    <row r="262" spans="1:3" x14ac:dyDescent="0.3">
      <c r="A262" s="7">
        <f t="shared" si="12"/>
        <v>0</v>
      </c>
      <c r="B262" s="8" t="str">
        <f t="shared" si="13"/>
        <v>0.00</v>
      </c>
      <c r="C262" s="29" t="str">
        <f>IF(COUNTIFS(Budget_items[Subheaders],'Data entry'!A262)&lt;10,".0"&amp;COUNTIFS(Budget_items[Subheaders],'Data entry'!A262),"."&amp;COUNTIFS(Budget_items[Subheaders],'Data entry'!A262))</f>
        <v>.00</v>
      </c>
    </row>
    <row r="263" spans="1:3" x14ac:dyDescent="0.3">
      <c r="A263" s="7">
        <f t="shared" si="12"/>
        <v>0</v>
      </c>
      <c r="B263" s="8" t="str">
        <f t="shared" si="13"/>
        <v>0.00</v>
      </c>
      <c r="C263" s="29" t="str">
        <f>IF(COUNTIFS(Budget_items[Subheaders],'Data entry'!A263)&lt;10,".0"&amp;COUNTIFS(Budget_items[Subheaders],'Data entry'!A263),"."&amp;COUNTIFS(Budget_items[Subheaders],'Data entry'!A263))</f>
        <v>.00</v>
      </c>
    </row>
    <row r="264" spans="1:3" x14ac:dyDescent="0.3">
      <c r="A264" s="7">
        <f t="shared" si="12"/>
        <v>0</v>
      </c>
      <c r="B264" s="8" t="str">
        <f t="shared" si="13"/>
        <v>0.00</v>
      </c>
      <c r="C264" s="29" t="str">
        <f>IF(COUNTIFS(Budget_items[Subheaders],'Data entry'!A264)&lt;10,".0"&amp;COUNTIFS(Budget_items[Subheaders],'Data entry'!A264),"."&amp;COUNTIFS(Budget_items[Subheaders],'Data entry'!A264))</f>
        <v>.00</v>
      </c>
    </row>
    <row r="265" spans="1:3" x14ac:dyDescent="0.3">
      <c r="A265" s="7">
        <f t="shared" si="12"/>
        <v>0</v>
      </c>
      <c r="B265" s="8" t="str">
        <f t="shared" si="13"/>
        <v>0.00</v>
      </c>
      <c r="C265" s="29" t="str">
        <f>IF(COUNTIFS(Budget_items[Subheaders],'Data entry'!A265)&lt;10,".0"&amp;COUNTIFS(Budget_items[Subheaders],'Data entry'!A265),"."&amp;COUNTIFS(Budget_items[Subheaders],'Data entry'!A265))</f>
        <v>.00</v>
      </c>
    </row>
    <row r="266" spans="1:3" x14ac:dyDescent="0.3">
      <c r="A266" s="7">
        <f t="shared" si="12"/>
        <v>0</v>
      </c>
      <c r="B266" s="8" t="str">
        <f t="shared" si="13"/>
        <v>0.00</v>
      </c>
      <c r="C266" s="29" t="str">
        <f>IF(COUNTIFS(Budget_items[Subheaders],'Data entry'!A266)&lt;10,".0"&amp;COUNTIFS(Budget_items[Subheaders],'Data entry'!A266),"."&amp;COUNTIFS(Budget_items[Subheaders],'Data entry'!A266))</f>
        <v>.00</v>
      </c>
    </row>
    <row r="267" spans="1:3" x14ac:dyDescent="0.3">
      <c r="A267" s="7">
        <f t="shared" si="12"/>
        <v>0</v>
      </c>
      <c r="B267" s="8" t="str">
        <f t="shared" si="13"/>
        <v>0.00</v>
      </c>
      <c r="C267" s="29" t="str">
        <f>IF(COUNTIFS(Budget_items[Subheaders],'Data entry'!A267)&lt;10,".0"&amp;COUNTIFS(Budget_items[Subheaders],'Data entry'!A267),"."&amp;COUNTIFS(Budget_items[Subheaders],'Data entry'!A267))</f>
        <v>.00</v>
      </c>
    </row>
    <row r="268" spans="1:3" x14ac:dyDescent="0.3">
      <c r="A268" s="7">
        <f t="shared" si="12"/>
        <v>0</v>
      </c>
      <c r="B268" s="8" t="str">
        <f t="shared" si="13"/>
        <v>0.00</v>
      </c>
      <c r="C268" s="29" t="str">
        <f>IF(COUNTIFS(Budget_items[Subheaders],'Data entry'!A268)&lt;10,".0"&amp;COUNTIFS(Budget_items[Subheaders],'Data entry'!A268),"."&amp;COUNTIFS(Budget_items[Subheaders],'Data entry'!A268))</f>
        <v>.00</v>
      </c>
    </row>
    <row r="269" spans="1:3" x14ac:dyDescent="0.3">
      <c r="A269" s="7">
        <f t="shared" si="12"/>
        <v>0</v>
      </c>
      <c r="B269" s="8" t="str">
        <f t="shared" si="13"/>
        <v>0.00</v>
      </c>
      <c r="C269" s="29" t="str">
        <f>IF(COUNTIFS(Budget_items[Subheaders],'Data entry'!A269)&lt;10,".0"&amp;COUNTIFS(Budget_items[Subheaders],'Data entry'!A269),"."&amp;COUNTIFS(Budget_items[Subheaders],'Data entry'!A269))</f>
        <v>.00</v>
      </c>
    </row>
    <row r="270" spans="1:3" x14ac:dyDescent="0.3">
      <c r="A270" s="7">
        <f t="shared" si="12"/>
        <v>0</v>
      </c>
      <c r="B270" s="8" t="str">
        <f t="shared" si="13"/>
        <v>0.00</v>
      </c>
      <c r="C270" s="29" t="str">
        <f>IF(COUNTIFS(Budget_items[Subheaders],'Data entry'!A270)&lt;10,".0"&amp;COUNTIFS(Budget_items[Subheaders],'Data entry'!A270),"."&amp;COUNTIFS(Budget_items[Subheaders],'Data entry'!A270))</f>
        <v>.00</v>
      </c>
    </row>
    <row r="271" spans="1:3" x14ac:dyDescent="0.3">
      <c r="A271" s="7">
        <f t="shared" si="12"/>
        <v>0</v>
      </c>
      <c r="B271" s="8" t="str">
        <f t="shared" si="13"/>
        <v>0.00</v>
      </c>
      <c r="C271" s="29" t="str">
        <f>IF(COUNTIFS(Budget_items[Subheaders],'Data entry'!A271)&lt;10,".0"&amp;COUNTIFS(Budget_items[Subheaders],'Data entry'!A271),"."&amp;COUNTIFS(Budget_items[Subheaders],'Data entry'!A271))</f>
        <v>.00</v>
      </c>
    </row>
    <row r="272" spans="1:3" x14ac:dyDescent="0.3">
      <c r="A272" s="7">
        <f t="shared" si="12"/>
        <v>0</v>
      </c>
      <c r="B272" s="8" t="str">
        <f t="shared" si="13"/>
        <v>0.00</v>
      </c>
      <c r="C272" s="29" t="str">
        <f>IF(COUNTIFS(Budget_items[Subheaders],'Data entry'!A272)&lt;10,".0"&amp;COUNTIFS(Budget_items[Subheaders],'Data entry'!A272),"."&amp;COUNTIFS(Budget_items[Subheaders],'Data entry'!A272))</f>
        <v>.00</v>
      </c>
    </row>
    <row r="273" spans="1:3" x14ac:dyDescent="0.3">
      <c r="A273" s="7">
        <f t="shared" si="12"/>
        <v>0</v>
      </c>
      <c r="B273" s="8" t="str">
        <f t="shared" si="13"/>
        <v>0.00</v>
      </c>
      <c r="C273" s="29" t="str">
        <f>IF(COUNTIFS(Budget_items[Subheaders],'Data entry'!A273)&lt;10,".0"&amp;COUNTIFS(Budget_items[Subheaders],'Data entry'!A273),"."&amp;COUNTIFS(Budget_items[Subheaders],'Data entry'!A273))</f>
        <v>.00</v>
      </c>
    </row>
    <row r="274" spans="1:3" x14ac:dyDescent="0.3">
      <c r="A274" s="7">
        <f t="shared" si="12"/>
        <v>0</v>
      </c>
      <c r="B274" s="8" t="str">
        <f t="shared" si="13"/>
        <v>0.00</v>
      </c>
      <c r="C274" s="29" t="str">
        <f>IF(COUNTIFS(Budget_items[Subheaders],'Data entry'!A274)&lt;10,".0"&amp;COUNTIFS(Budget_items[Subheaders],'Data entry'!A274),"."&amp;COUNTIFS(Budget_items[Subheaders],'Data entry'!A274))</f>
        <v>.00</v>
      </c>
    </row>
    <row r="275" spans="1:3" x14ac:dyDescent="0.3">
      <c r="A275" s="7">
        <f t="shared" si="12"/>
        <v>0</v>
      </c>
      <c r="B275" s="8" t="str">
        <f t="shared" si="13"/>
        <v>0.00</v>
      </c>
      <c r="C275" s="29" t="str">
        <f>IF(COUNTIFS(Budget_items[Subheaders],'Data entry'!A275)&lt;10,".0"&amp;COUNTIFS(Budget_items[Subheaders],'Data entry'!A275),"."&amp;COUNTIFS(Budget_items[Subheaders],'Data entry'!A275))</f>
        <v>.00</v>
      </c>
    </row>
    <row r="276" spans="1:3" x14ac:dyDescent="0.3">
      <c r="A276" s="7">
        <f t="shared" si="12"/>
        <v>0</v>
      </c>
      <c r="B276" s="8" t="str">
        <f t="shared" si="13"/>
        <v>0.00</v>
      </c>
      <c r="C276" s="29" t="str">
        <f>IF(COUNTIFS(Budget_items[Subheaders],'Data entry'!A276)&lt;10,".0"&amp;COUNTIFS(Budget_items[Subheaders],'Data entry'!A276),"."&amp;COUNTIFS(Budget_items[Subheaders],'Data entry'!A276))</f>
        <v>.00</v>
      </c>
    </row>
    <row r="277" spans="1:3" x14ac:dyDescent="0.3">
      <c r="A277" s="7">
        <f t="shared" si="12"/>
        <v>0</v>
      </c>
      <c r="B277" s="8" t="str">
        <f t="shared" si="13"/>
        <v>0.00</v>
      </c>
      <c r="C277" s="29" t="str">
        <f>IF(COUNTIFS(Budget_items[Subheaders],'Data entry'!A277)&lt;10,".0"&amp;COUNTIFS(Budget_items[Subheaders],'Data entry'!A277),"."&amp;COUNTIFS(Budget_items[Subheaders],'Data entry'!A277))</f>
        <v>.00</v>
      </c>
    </row>
    <row r="278" spans="1:3" x14ac:dyDescent="0.3">
      <c r="A278" s="7">
        <f t="shared" si="12"/>
        <v>0</v>
      </c>
      <c r="B278" s="8" t="str">
        <f t="shared" si="13"/>
        <v>0.00</v>
      </c>
      <c r="C278" s="29" t="str">
        <f>IF(COUNTIFS(Budget_items[Subheaders],'Data entry'!A278)&lt;10,".0"&amp;COUNTIFS(Budget_items[Subheaders],'Data entry'!A278),"."&amp;COUNTIFS(Budget_items[Subheaders],'Data entry'!A278))</f>
        <v>.00</v>
      </c>
    </row>
    <row r="279" spans="1:3" x14ac:dyDescent="0.3">
      <c r="A279" s="7">
        <f t="shared" si="12"/>
        <v>0</v>
      </c>
      <c r="B279" s="8" t="str">
        <f t="shared" si="13"/>
        <v>0.00</v>
      </c>
      <c r="C279" s="29" t="str">
        <f>IF(COUNTIFS(Budget_items[Subheaders],'Data entry'!A279)&lt;10,".0"&amp;COUNTIFS(Budget_items[Subheaders],'Data entry'!A279),"."&amp;COUNTIFS(Budget_items[Subheaders],'Data entry'!A279))</f>
        <v>.00</v>
      </c>
    </row>
    <row r="280" spans="1:3" x14ac:dyDescent="0.3">
      <c r="A280" s="7">
        <f t="shared" si="12"/>
        <v>0</v>
      </c>
      <c r="B280" s="8" t="str">
        <f t="shared" si="13"/>
        <v>0.00</v>
      </c>
      <c r="C280" s="29" t="str">
        <f>IF(COUNTIFS(Budget_items[Subheaders],'Data entry'!A280)&lt;10,".0"&amp;COUNTIFS(Budget_items[Subheaders],'Data entry'!A280),"."&amp;COUNTIFS(Budget_items[Subheaders],'Data entry'!A280))</f>
        <v>.00</v>
      </c>
    </row>
    <row r="281" spans="1:3" x14ac:dyDescent="0.3">
      <c r="A281" s="7">
        <f t="shared" si="12"/>
        <v>0</v>
      </c>
      <c r="B281" s="8" t="str">
        <f t="shared" si="13"/>
        <v>0.00</v>
      </c>
      <c r="C281" s="29" t="str">
        <f>IF(COUNTIFS(Budget_items[Subheaders],'Data entry'!A281)&lt;10,".0"&amp;COUNTIFS(Budget_items[Subheaders],'Data entry'!A281),"."&amp;COUNTIFS(Budget_items[Subheaders],'Data entry'!A281))</f>
        <v>.00</v>
      </c>
    </row>
    <row r="282" spans="1:3" x14ac:dyDescent="0.3">
      <c r="A282" s="7">
        <f t="shared" ref="A282:A345" si="14">P284</f>
        <v>0</v>
      </c>
      <c r="B282" s="8" t="str">
        <f t="shared" si="13"/>
        <v>0.00</v>
      </c>
      <c r="C282" s="29" t="str">
        <f>IF(COUNTIFS(Budget_items[Subheaders],'Data entry'!A282)&lt;10,".0"&amp;COUNTIFS(Budget_items[Subheaders],'Data entry'!A282),"."&amp;COUNTIFS(Budget_items[Subheaders],'Data entry'!A282))</f>
        <v>.00</v>
      </c>
    </row>
    <row r="283" spans="1:3" x14ac:dyDescent="0.3">
      <c r="A283" s="7">
        <f t="shared" si="14"/>
        <v>0</v>
      </c>
      <c r="B283" s="8" t="str">
        <f t="shared" si="13"/>
        <v>0.00</v>
      </c>
      <c r="C283" s="29" t="str">
        <f>IF(COUNTIFS(Budget_items[Subheaders],'Data entry'!A283)&lt;10,".0"&amp;COUNTIFS(Budget_items[Subheaders],'Data entry'!A283),"."&amp;COUNTIFS(Budget_items[Subheaders],'Data entry'!A283))</f>
        <v>.00</v>
      </c>
    </row>
    <row r="284" spans="1:3" x14ac:dyDescent="0.3">
      <c r="A284" s="7">
        <f t="shared" si="14"/>
        <v>0</v>
      </c>
      <c r="B284" s="8" t="str">
        <f t="shared" si="13"/>
        <v>0.00</v>
      </c>
      <c r="C284" s="29" t="str">
        <f>IF(COUNTIFS(Budget_items[Subheaders],'Data entry'!A284)&lt;10,".0"&amp;COUNTIFS(Budget_items[Subheaders],'Data entry'!A284),"."&amp;COUNTIFS(Budget_items[Subheaders],'Data entry'!A284))</f>
        <v>.00</v>
      </c>
    </row>
    <row r="285" spans="1:3" x14ac:dyDescent="0.3">
      <c r="A285" s="7">
        <f t="shared" si="14"/>
        <v>0</v>
      </c>
      <c r="B285" s="8" t="str">
        <f t="shared" si="13"/>
        <v>0.00</v>
      </c>
      <c r="C285" s="29" t="str">
        <f>IF(COUNTIFS(Budget_items[Subheaders],'Data entry'!A285)&lt;10,".0"&amp;COUNTIFS(Budget_items[Subheaders],'Data entry'!A285),"."&amp;COUNTIFS(Budget_items[Subheaders],'Data entry'!A285))</f>
        <v>.00</v>
      </c>
    </row>
    <row r="286" spans="1:3" x14ac:dyDescent="0.3">
      <c r="A286" s="7">
        <f t="shared" si="14"/>
        <v>0</v>
      </c>
      <c r="B286" s="8" t="str">
        <f t="shared" si="13"/>
        <v>0.00</v>
      </c>
      <c r="C286" s="29" t="str">
        <f>IF(COUNTIFS(Budget_items[Subheaders],'Data entry'!A286)&lt;10,".0"&amp;COUNTIFS(Budget_items[Subheaders],'Data entry'!A286),"."&amp;COUNTIFS(Budget_items[Subheaders],'Data entry'!A286))</f>
        <v>.00</v>
      </c>
    </row>
    <row r="287" spans="1:3" x14ac:dyDescent="0.3">
      <c r="A287" s="7">
        <f t="shared" si="14"/>
        <v>0</v>
      </c>
      <c r="B287" s="8" t="str">
        <f t="shared" si="13"/>
        <v>0.00</v>
      </c>
      <c r="C287" s="29" t="str">
        <f>IF(COUNTIFS(Budget_items[Subheaders],'Data entry'!A287)&lt;10,".0"&amp;COUNTIFS(Budget_items[Subheaders],'Data entry'!A287),"."&amp;COUNTIFS(Budget_items[Subheaders],'Data entry'!A287))</f>
        <v>.00</v>
      </c>
    </row>
    <row r="288" spans="1:3" x14ac:dyDescent="0.3">
      <c r="A288" s="7">
        <f t="shared" si="14"/>
        <v>0</v>
      </c>
      <c r="B288" s="8" t="str">
        <f t="shared" si="13"/>
        <v>0.00</v>
      </c>
      <c r="C288" s="29" t="str">
        <f>IF(COUNTIFS(Budget_items[Subheaders],'Data entry'!A288)&lt;10,".0"&amp;COUNTIFS(Budget_items[Subheaders],'Data entry'!A288),"."&amp;COUNTIFS(Budget_items[Subheaders],'Data entry'!A288))</f>
        <v>.00</v>
      </c>
    </row>
    <row r="289" spans="1:3" x14ac:dyDescent="0.3">
      <c r="A289" s="7">
        <f t="shared" si="14"/>
        <v>0</v>
      </c>
      <c r="B289" s="8" t="str">
        <f t="shared" si="13"/>
        <v>0.00</v>
      </c>
      <c r="C289" s="29" t="str">
        <f>IF(COUNTIFS(Budget_items[Subheaders],'Data entry'!A289)&lt;10,".0"&amp;COUNTIFS(Budget_items[Subheaders],'Data entry'!A289),"."&amp;COUNTIFS(Budget_items[Subheaders],'Data entry'!A289))</f>
        <v>.00</v>
      </c>
    </row>
    <row r="290" spans="1:3" x14ac:dyDescent="0.3">
      <c r="A290" s="7">
        <f t="shared" si="14"/>
        <v>0</v>
      </c>
      <c r="B290" s="8" t="str">
        <f t="shared" si="13"/>
        <v>0.00</v>
      </c>
      <c r="C290" s="29" t="str">
        <f>IF(COUNTIFS(Budget_items[Subheaders],'Data entry'!A290)&lt;10,".0"&amp;COUNTIFS(Budget_items[Subheaders],'Data entry'!A290),"."&amp;COUNTIFS(Budget_items[Subheaders],'Data entry'!A290))</f>
        <v>.00</v>
      </c>
    </row>
    <row r="291" spans="1:3" x14ac:dyDescent="0.3">
      <c r="A291" s="7">
        <f t="shared" si="14"/>
        <v>0</v>
      </c>
      <c r="B291" s="8" t="str">
        <f t="shared" si="13"/>
        <v>0.00</v>
      </c>
      <c r="C291" s="29" t="str">
        <f>IF(COUNTIFS(Budget_items[Subheaders],'Data entry'!A291)&lt;10,".0"&amp;COUNTIFS(Budget_items[Subheaders],'Data entry'!A291),"."&amp;COUNTIFS(Budget_items[Subheaders],'Data entry'!A291))</f>
        <v>.00</v>
      </c>
    </row>
    <row r="292" spans="1:3" x14ac:dyDescent="0.3">
      <c r="A292" s="7">
        <f t="shared" si="14"/>
        <v>0</v>
      </c>
      <c r="B292" s="8" t="str">
        <f t="shared" si="13"/>
        <v>0.00</v>
      </c>
      <c r="C292" s="29" t="str">
        <f>IF(COUNTIFS(Budget_items[Subheaders],'Data entry'!A292)&lt;10,".0"&amp;COUNTIFS(Budget_items[Subheaders],'Data entry'!A292),"."&amp;COUNTIFS(Budget_items[Subheaders],'Data entry'!A292))</f>
        <v>.00</v>
      </c>
    </row>
    <row r="293" spans="1:3" x14ac:dyDescent="0.3">
      <c r="A293" s="7">
        <f t="shared" si="14"/>
        <v>0</v>
      </c>
      <c r="B293" s="8" t="str">
        <f t="shared" si="13"/>
        <v>0.00</v>
      </c>
      <c r="C293" s="29" t="str">
        <f>IF(COUNTIFS(Budget_items[Subheaders],'Data entry'!A293)&lt;10,".0"&amp;COUNTIFS(Budget_items[Subheaders],'Data entry'!A293),"."&amp;COUNTIFS(Budget_items[Subheaders],'Data entry'!A293))</f>
        <v>.00</v>
      </c>
    </row>
    <row r="294" spans="1:3" x14ac:dyDescent="0.3">
      <c r="A294" s="7">
        <f t="shared" si="14"/>
        <v>0</v>
      </c>
      <c r="B294" s="8" t="str">
        <f t="shared" si="13"/>
        <v>0.00</v>
      </c>
      <c r="C294" s="29" t="str">
        <f>IF(COUNTIFS(Budget_items[Subheaders],'Data entry'!A294)&lt;10,".0"&amp;COUNTIFS(Budget_items[Subheaders],'Data entry'!A294),"."&amp;COUNTIFS(Budget_items[Subheaders],'Data entry'!A294))</f>
        <v>.00</v>
      </c>
    </row>
    <row r="295" spans="1:3" x14ac:dyDescent="0.3">
      <c r="A295" s="7">
        <f t="shared" si="14"/>
        <v>0</v>
      </c>
      <c r="B295" s="8" t="str">
        <f t="shared" si="13"/>
        <v>0.00</v>
      </c>
      <c r="C295" s="29" t="str">
        <f>IF(COUNTIFS(Budget_items[Subheaders],'Data entry'!A295)&lt;10,".0"&amp;COUNTIFS(Budget_items[Subheaders],'Data entry'!A295),"."&amp;COUNTIFS(Budget_items[Subheaders],'Data entry'!A295))</f>
        <v>.00</v>
      </c>
    </row>
    <row r="296" spans="1:3" x14ac:dyDescent="0.3">
      <c r="A296" s="7">
        <f t="shared" si="14"/>
        <v>0</v>
      </c>
      <c r="B296" s="8" t="str">
        <f t="shared" si="13"/>
        <v>0.00</v>
      </c>
      <c r="C296" s="29" t="str">
        <f>IF(COUNTIFS(Budget_items[Subheaders],'Data entry'!A296)&lt;10,".0"&amp;COUNTIFS(Budget_items[Subheaders],'Data entry'!A296),"."&amp;COUNTIFS(Budget_items[Subheaders],'Data entry'!A296))</f>
        <v>.00</v>
      </c>
    </row>
    <row r="297" spans="1:3" x14ac:dyDescent="0.3">
      <c r="A297" s="7">
        <f t="shared" si="14"/>
        <v>0</v>
      </c>
      <c r="B297" s="8" t="str">
        <f t="shared" si="13"/>
        <v>0.00</v>
      </c>
      <c r="C297" s="29" t="str">
        <f>IF(COUNTIFS(Budget_items[Subheaders],'Data entry'!A297)&lt;10,".0"&amp;COUNTIFS(Budget_items[Subheaders],'Data entry'!A297),"."&amp;COUNTIFS(Budget_items[Subheaders],'Data entry'!A297))</f>
        <v>.00</v>
      </c>
    </row>
    <row r="298" spans="1:3" x14ac:dyDescent="0.3">
      <c r="A298" s="7">
        <f t="shared" si="14"/>
        <v>0</v>
      </c>
      <c r="B298" s="8" t="str">
        <f t="shared" si="13"/>
        <v>0.00</v>
      </c>
      <c r="C298" s="29" t="str">
        <f>IF(COUNTIFS(Budget_items[Subheaders],'Data entry'!A298)&lt;10,".0"&amp;COUNTIFS(Budget_items[Subheaders],'Data entry'!A298),"."&amp;COUNTIFS(Budget_items[Subheaders],'Data entry'!A298))</f>
        <v>.00</v>
      </c>
    </row>
    <row r="299" spans="1:3" x14ac:dyDescent="0.3">
      <c r="A299" s="7">
        <f t="shared" si="14"/>
        <v>0</v>
      </c>
      <c r="B299" s="8" t="str">
        <f t="shared" si="13"/>
        <v>0.00</v>
      </c>
      <c r="C299" s="29" t="str">
        <f>IF(COUNTIFS(Budget_items[Subheaders],'Data entry'!A299)&lt;10,".0"&amp;COUNTIFS(Budget_items[Subheaders],'Data entry'!A299),"."&amp;COUNTIFS(Budget_items[Subheaders],'Data entry'!A299))</f>
        <v>.00</v>
      </c>
    </row>
    <row r="300" spans="1:3" x14ac:dyDescent="0.3">
      <c r="A300" s="7">
        <f t="shared" si="14"/>
        <v>0</v>
      </c>
      <c r="B300" s="8" t="str">
        <f t="shared" si="13"/>
        <v>0.00</v>
      </c>
      <c r="C300" s="29" t="str">
        <f>IF(COUNTIFS(Budget_items[Subheaders],'Data entry'!A300)&lt;10,".0"&amp;COUNTIFS(Budget_items[Subheaders],'Data entry'!A300),"."&amp;COUNTIFS(Budget_items[Subheaders],'Data entry'!A300))</f>
        <v>.00</v>
      </c>
    </row>
    <row r="301" spans="1:3" x14ac:dyDescent="0.3">
      <c r="A301" s="7">
        <f t="shared" si="14"/>
        <v>0</v>
      </c>
      <c r="B301" s="8" t="str">
        <f t="shared" si="13"/>
        <v>0.00</v>
      </c>
      <c r="C301" s="29" t="str">
        <f>IF(COUNTIFS(Budget_items[Subheaders],'Data entry'!A301)&lt;10,".0"&amp;COUNTIFS(Budget_items[Subheaders],'Data entry'!A301),"."&amp;COUNTIFS(Budget_items[Subheaders],'Data entry'!A301))</f>
        <v>.00</v>
      </c>
    </row>
    <row r="302" spans="1:3" x14ac:dyDescent="0.3">
      <c r="A302" s="7">
        <f t="shared" si="14"/>
        <v>0</v>
      </c>
      <c r="B302" s="8" t="str">
        <f t="shared" si="13"/>
        <v>0.00</v>
      </c>
      <c r="C302" s="29" t="str">
        <f>IF(COUNTIFS(Budget_items[Subheaders],'Data entry'!A302)&lt;10,".0"&amp;COUNTIFS(Budget_items[Subheaders],'Data entry'!A302),"."&amp;COUNTIFS(Budget_items[Subheaders],'Data entry'!A302))</f>
        <v>.00</v>
      </c>
    </row>
    <row r="303" spans="1:3" x14ac:dyDescent="0.3">
      <c r="A303" s="7">
        <f t="shared" si="14"/>
        <v>0</v>
      </c>
      <c r="B303" s="8" t="str">
        <f t="shared" si="13"/>
        <v>0.00</v>
      </c>
      <c r="C303" s="29" t="str">
        <f>IF(COUNTIFS(Budget_items[Subheaders],'Data entry'!A303)&lt;10,".0"&amp;COUNTIFS(Budget_items[Subheaders],'Data entry'!A303),"."&amp;COUNTIFS(Budget_items[Subheaders],'Data entry'!A303))</f>
        <v>.00</v>
      </c>
    </row>
    <row r="304" spans="1:3" x14ac:dyDescent="0.3">
      <c r="A304" s="7">
        <f t="shared" si="14"/>
        <v>0</v>
      </c>
      <c r="B304" s="8" t="str">
        <f t="shared" si="13"/>
        <v>0.00</v>
      </c>
      <c r="C304" s="29" t="str">
        <f>IF(COUNTIFS(Budget_items[Subheaders],'Data entry'!A304)&lt;10,".0"&amp;COUNTIFS(Budget_items[Subheaders],'Data entry'!A304),"."&amp;COUNTIFS(Budget_items[Subheaders],'Data entry'!A304))</f>
        <v>.00</v>
      </c>
    </row>
    <row r="305" spans="1:3" x14ac:dyDescent="0.3">
      <c r="A305" s="7">
        <f t="shared" si="14"/>
        <v>0</v>
      </c>
      <c r="B305" s="8" t="str">
        <f t="shared" si="13"/>
        <v>0.00</v>
      </c>
      <c r="C305" s="29" t="str">
        <f>IF(COUNTIFS(Budget_items[Subheaders],'Data entry'!A305)&lt;10,".0"&amp;COUNTIFS(Budget_items[Subheaders],'Data entry'!A305),"."&amp;COUNTIFS(Budget_items[Subheaders],'Data entry'!A305))</f>
        <v>.00</v>
      </c>
    </row>
    <row r="306" spans="1:3" x14ac:dyDescent="0.3">
      <c r="A306" s="7">
        <f t="shared" si="14"/>
        <v>0</v>
      </c>
      <c r="B306" s="8" t="str">
        <f t="shared" si="13"/>
        <v>0.00</v>
      </c>
      <c r="C306" s="29" t="str">
        <f>IF(COUNTIFS(Budget_items[Subheaders],'Data entry'!A306)&lt;10,".0"&amp;COUNTIFS(Budget_items[Subheaders],'Data entry'!A306),"."&amp;COUNTIFS(Budget_items[Subheaders],'Data entry'!A306))</f>
        <v>.00</v>
      </c>
    </row>
    <row r="307" spans="1:3" x14ac:dyDescent="0.3">
      <c r="A307" s="7">
        <f t="shared" si="14"/>
        <v>0</v>
      </c>
      <c r="B307" s="8" t="str">
        <f t="shared" si="13"/>
        <v>0.00</v>
      </c>
      <c r="C307" s="29" t="str">
        <f>IF(COUNTIFS(Budget_items[Subheaders],'Data entry'!A307)&lt;10,".0"&amp;COUNTIFS(Budget_items[Subheaders],'Data entry'!A307),"."&amp;COUNTIFS(Budget_items[Subheaders],'Data entry'!A307))</f>
        <v>.00</v>
      </c>
    </row>
    <row r="308" spans="1:3" x14ac:dyDescent="0.3">
      <c r="A308" s="7">
        <f t="shared" si="14"/>
        <v>0</v>
      </c>
      <c r="B308" s="8" t="str">
        <f t="shared" si="13"/>
        <v>0.00</v>
      </c>
      <c r="C308" s="29" t="str">
        <f>IF(COUNTIFS(Budget_items[Subheaders],'Data entry'!A308)&lt;10,".0"&amp;COUNTIFS(Budget_items[Subheaders],'Data entry'!A308),"."&amp;COUNTIFS(Budget_items[Subheaders],'Data entry'!A308))</f>
        <v>.00</v>
      </c>
    </row>
    <row r="309" spans="1:3" x14ac:dyDescent="0.3">
      <c r="A309" s="7">
        <f t="shared" si="14"/>
        <v>0</v>
      </c>
      <c r="B309" s="8" t="str">
        <f t="shared" si="13"/>
        <v>0.00</v>
      </c>
      <c r="C309" s="29" t="str">
        <f>IF(COUNTIFS(Budget_items[Subheaders],'Data entry'!A309)&lt;10,".0"&amp;COUNTIFS(Budget_items[Subheaders],'Data entry'!A309),"."&amp;COUNTIFS(Budget_items[Subheaders],'Data entry'!A309))</f>
        <v>.00</v>
      </c>
    </row>
    <row r="310" spans="1:3" x14ac:dyDescent="0.3">
      <c r="A310" s="7">
        <f t="shared" si="14"/>
        <v>0</v>
      </c>
      <c r="B310" s="8" t="str">
        <f t="shared" si="13"/>
        <v>0.00</v>
      </c>
      <c r="C310" s="29" t="str">
        <f>IF(COUNTIFS(Budget_items[Subheaders],'Data entry'!A310)&lt;10,".0"&amp;COUNTIFS(Budget_items[Subheaders],'Data entry'!A310),"."&amp;COUNTIFS(Budget_items[Subheaders],'Data entry'!A310))</f>
        <v>.00</v>
      </c>
    </row>
    <row r="311" spans="1:3" x14ac:dyDescent="0.3">
      <c r="A311" s="7">
        <f t="shared" si="14"/>
        <v>0</v>
      </c>
      <c r="B311" s="8" t="str">
        <f t="shared" si="13"/>
        <v>0.00</v>
      </c>
      <c r="C311" s="29" t="str">
        <f>IF(COUNTIFS(Budget_items[Subheaders],'Data entry'!A311)&lt;10,".0"&amp;COUNTIFS(Budget_items[Subheaders],'Data entry'!A311),"."&amp;COUNTIFS(Budget_items[Subheaders],'Data entry'!A311))</f>
        <v>.00</v>
      </c>
    </row>
    <row r="312" spans="1:3" x14ac:dyDescent="0.3">
      <c r="A312" s="7">
        <f t="shared" si="14"/>
        <v>0</v>
      </c>
      <c r="B312" s="8" t="str">
        <f t="shared" si="13"/>
        <v>0.00</v>
      </c>
      <c r="C312" s="29" t="str">
        <f>IF(COUNTIFS(Budget_items[Subheaders],'Data entry'!A312)&lt;10,".0"&amp;COUNTIFS(Budget_items[Subheaders],'Data entry'!A312),"."&amp;COUNTIFS(Budget_items[Subheaders],'Data entry'!A312))</f>
        <v>.00</v>
      </c>
    </row>
    <row r="313" spans="1:3" x14ac:dyDescent="0.3">
      <c r="A313" s="7">
        <f t="shared" si="14"/>
        <v>0</v>
      </c>
      <c r="B313" s="8" t="str">
        <f t="shared" si="13"/>
        <v>0.00</v>
      </c>
      <c r="C313" s="29" t="str">
        <f>IF(COUNTIFS(Budget_items[Subheaders],'Data entry'!A313)&lt;10,".0"&amp;COUNTIFS(Budget_items[Subheaders],'Data entry'!A313),"."&amp;COUNTIFS(Budget_items[Subheaders],'Data entry'!A313))</f>
        <v>.00</v>
      </c>
    </row>
    <row r="314" spans="1:3" x14ac:dyDescent="0.3">
      <c r="A314" s="7">
        <f t="shared" si="14"/>
        <v>0</v>
      </c>
      <c r="B314" s="8" t="str">
        <f t="shared" si="13"/>
        <v>0.00</v>
      </c>
      <c r="C314" s="29" t="str">
        <f>IF(COUNTIFS(Budget_items[Subheaders],'Data entry'!A314)&lt;10,".0"&amp;COUNTIFS(Budget_items[Subheaders],'Data entry'!A314),"."&amp;COUNTIFS(Budget_items[Subheaders],'Data entry'!A314))</f>
        <v>.00</v>
      </c>
    </row>
    <row r="315" spans="1:3" x14ac:dyDescent="0.3">
      <c r="A315" s="7">
        <f t="shared" si="14"/>
        <v>0</v>
      </c>
      <c r="B315" s="8" t="str">
        <f t="shared" si="13"/>
        <v>0.00</v>
      </c>
      <c r="C315" s="29" t="str">
        <f>IF(COUNTIFS(Budget_items[Subheaders],'Data entry'!A315)&lt;10,".0"&amp;COUNTIFS(Budget_items[Subheaders],'Data entry'!A315),"."&amp;COUNTIFS(Budget_items[Subheaders],'Data entry'!A315))</f>
        <v>.00</v>
      </c>
    </row>
    <row r="316" spans="1:3" x14ac:dyDescent="0.3">
      <c r="A316" s="7">
        <f t="shared" si="14"/>
        <v>0</v>
      </c>
      <c r="B316" s="8" t="str">
        <f t="shared" si="13"/>
        <v>0.00</v>
      </c>
      <c r="C316" s="29" t="str">
        <f>IF(COUNTIFS(Budget_items[Subheaders],'Data entry'!A316)&lt;10,".0"&amp;COUNTIFS(Budget_items[Subheaders],'Data entry'!A316),"."&amp;COUNTIFS(Budget_items[Subheaders],'Data entry'!A316))</f>
        <v>.00</v>
      </c>
    </row>
    <row r="317" spans="1:3" x14ac:dyDescent="0.3">
      <c r="A317" s="7">
        <f t="shared" si="14"/>
        <v>0</v>
      </c>
      <c r="B317" s="8" t="str">
        <f t="shared" si="13"/>
        <v>0.00</v>
      </c>
      <c r="C317" s="29" t="str">
        <f>IF(COUNTIFS(Budget_items[Subheaders],'Data entry'!A317)&lt;10,".0"&amp;COUNTIFS(Budget_items[Subheaders],'Data entry'!A317),"."&amp;COUNTIFS(Budget_items[Subheaders],'Data entry'!A317))</f>
        <v>.00</v>
      </c>
    </row>
    <row r="318" spans="1:3" x14ac:dyDescent="0.3">
      <c r="A318" s="7">
        <f t="shared" si="14"/>
        <v>0</v>
      </c>
      <c r="B318" s="8" t="str">
        <f t="shared" si="13"/>
        <v>0.00</v>
      </c>
      <c r="C318" s="29" t="str">
        <f>IF(COUNTIFS(Budget_items[Subheaders],'Data entry'!A318)&lt;10,".0"&amp;COUNTIFS(Budget_items[Subheaders],'Data entry'!A318),"."&amp;COUNTIFS(Budget_items[Subheaders],'Data entry'!A318))</f>
        <v>.00</v>
      </c>
    </row>
    <row r="319" spans="1:3" x14ac:dyDescent="0.3">
      <c r="A319" s="7">
        <f t="shared" si="14"/>
        <v>0</v>
      </c>
      <c r="B319" s="8" t="str">
        <f t="shared" si="13"/>
        <v>0.00</v>
      </c>
      <c r="C319" s="29" t="str">
        <f>IF(COUNTIFS(Budget_items[Subheaders],'Data entry'!A319)&lt;10,".0"&amp;COUNTIFS(Budget_items[Subheaders],'Data entry'!A319),"."&amp;COUNTIFS(Budget_items[Subheaders],'Data entry'!A319))</f>
        <v>.00</v>
      </c>
    </row>
    <row r="320" spans="1:3" x14ac:dyDescent="0.3">
      <c r="A320" s="7">
        <f t="shared" si="14"/>
        <v>0</v>
      </c>
      <c r="B320" s="8" t="str">
        <f t="shared" si="13"/>
        <v>0.00</v>
      </c>
      <c r="C320" s="29" t="str">
        <f>IF(COUNTIFS(Budget_items[Subheaders],'Data entry'!A320)&lt;10,".0"&amp;COUNTIFS(Budget_items[Subheaders],'Data entry'!A320),"."&amp;COUNTIFS(Budget_items[Subheaders],'Data entry'!A320))</f>
        <v>.00</v>
      </c>
    </row>
    <row r="321" spans="1:3" x14ac:dyDescent="0.3">
      <c r="A321" s="7">
        <f t="shared" si="14"/>
        <v>0</v>
      </c>
      <c r="B321" s="8" t="str">
        <f t="shared" si="13"/>
        <v>0.00</v>
      </c>
      <c r="C321" s="29" t="str">
        <f>IF(COUNTIFS(Budget_items[Subheaders],'Data entry'!A321)&lt;10,".0"&amp;COUNTIFS(Budget_items[Subheaders],'Data entry'!A321),"."&amp;COUNTIFS(Budget_items[Subheaders],'Data entry'!A321))</f>
        <v>.00</v>
      </c>
    </row>
    <row r="322" spans="1:3" x14ac:dyDescent="0.3">
      <c r="A322" s="7">
        <f t="shared" si="14"/>
        <v>0</v>
      </c>
      <c r="B322" s="8" t="str">
        <f t="shared" si="13"/>
        <v>0.00</v>
      </c>
      <c r="C322" s="29" t="str">
        <f>IF(COUNTIFS(Budget_items[Subheaders],'Data entry'!A322)&lt;10,".0"&amp;COUNTIFS(Budget_items[Subheaders],'Data entry'!A322),"."&amp;COUNTIFS(Budget_items[Subheaders],'Data entry'!A322))</f>
        <v>.00</v>
      </c>
    </row>
    <row r="323" spans="1:3" x14ac:dyDescent="0.3">
      <c r="A323" s="7">
        <f t="shared" si="14"/>
        <v>0</v>
      </c>
      <c r="B323" s="8" t="str">
        <f t="shared" ref="B323:B386" si="15">LEFT(A323,4)&amp;C323</f>
        <v>0.00</v>
      </c>
      <c r="C323" s="29" t="str">
        <f>IF(COUNTIFS(Budget_items[Subheaders],'Data entry'!A323)&lt;10,".0"&amp;COUNTIFS(Budget_items[Subheaders],'Data entry'!A323),"."&amp;COUNTIFS(Budget_items[Subheaders],'Data entry'!A323))</f>
        <v>.00</v>
      </c>
    </row>
    <row r="324" spans="1:3" x14ac:dyDescent="0.3">
      <c r="A324" s="7">
        <f t="shared" si="14"/>
        <v>0</v>
      </c>
      <c r="B324" s="8" t="str">
        <f t="shared" si="15"/>
        <v>0.00</v>
      </c>
      <c r="C324" s="29" t="str">
        <f>IF(COUNTIFS(Budget_items[Subheaders],'Data entry'!A324)&lt;10,".0"&amp;COUNTIFS(Budget_items[Subheaders],'Data entry'!A324),"."&amp;COUNTIFS(Budget_items[Subheaders],'Data entry'!A324))</f>
        <v>.00</v>
      </c>
    </row>
    <row r="325" spans="1:3" x14ac:dyDescent="0.3">
      <c r="A325" s="7">
        <f t="shared" si="14"/>
        <v>0</v>
      </c>
      <c r="B325" s="8" t="str">
        <f t="shared" si="15"/>
        <v>0.00</v>
      </c>
      <c r="C325" s="29" t="str">
        <f>IF(COUNTIFS(Budget_items[Subheaders],'Data entry'!A325)&lt;10,".0"&amp;COUNTIFS(Budget_items[Subheaders],'Data entry'!A325),"."&amp;COUNTIFS(Budget_items[Subheaders],'Data entry'!A325))</f>
        <v>.00</v>
      </c>
    </row>
    <row r="326" spans="1:3" x14ac:dyDescent="0.3">
      <c r="A326" s="7">
        <f t="shared" si="14"/>
        <v>0</v>
      </c>
      <c r="B326" s="8" t="str">
        <f t="shared" si="15"/>
        <v>0.00</v>
      </c>
      <c r="C326" s="29" t="str">
        <f>IF(COUNTIFS(Budget_items[Subheaders],'Data entry'!A326)&lt;10,".0"&amp;COUNTIFS(Budget_items[Subheaders],'Data entry'!A326),"."&amp;COUNTIFS(Budget_items[Subheaders],'Data entry'!A326))</f>
        <v>.00</v>
      </c>
    </row>
    <row r="327" spans="1:3" x14ac:dyDescent="0.3">
      <c r="A327" s="7">
        <f t="shared" si="14"/>
        <v>0</v>
      </c>
      <c r="B327" s="8" t="str">
        <f t="shared" si="15"/>
        <v>0.00</v>
      </c>
      <c r="C327" s="29" t="str">
        <f>IF(COUNTIFS(Budget_items[Subheaders],'Data entry'!A327)&lt;10,".0"&amp;COUNTIFS(Budget_items[Subheaders],'Data entry'!A327),"."&amp;COUNTIFS(Budget_items[Subheaders],'Data entry'!A327))</f>
        <v>.00</v>
      </c>
    </row>
    <row r="328" spans="1:3" x14ac:dyDescent="0.3">
      <c r="A328" s="7">
        <f t="shared" si="14"/>
        <v>0</v>
      </c>
      <c r="B328" s="8" t="str">
        <f t="shared" si="15"/>
        <v>0.00</v>
      </c>
      <c r="C328" s="29" t="str">
        <f>IF(COUNTIFS(Budget_items[Subheaders],'Data entry'!A328)&lt;10,".0"&amp;COUNTIFS(Budget_items[Subheaders],'Data entry'!A328),"."&amp;COUNTIFS(Budget_items[Subheaders],'Data entry'!A328))</f>
        <v>.00</v>
      </c>
    </row>
    <row r="329" spans="1:3" x14ac:dyDescent="0.3">
      <c r="A329" s="7">
        <f t="shared" si="14"/>
        <v>0</v>
      </c>
      <c r="B329" s="8" t="str">
        <f t="shared" si="15"/>
        <v>0.00</v>
      </c>
      <c r="C329" s="29" t="str">
        <f>IF(COUNTIFS(Budget_items[Subheaders],'Data entry'!A329)&lt;10,".0"&amp;COUNTIFS(Budget_items[Subheaders],'Data entry'!A329),"."&amp;COUNTIFS(Budget_items[Subheaders],'Data entry'!A329))</f>
        <v>.00</v>
      </c>
    </row>
    <row r="330" spans="1:3" x14ac:dyDescent="0.3">
      <c r="A330" s="7">
        <f t="shared" si="14"/>
        <v>0</v>
      </c>
      <c r="B330" s="8" t="str">
        <f t="shared" si="15"/>
        <v>0.00</v>
      </c>
      <c r="C330" s="29" t="str">
        <f>IF(COUNTIFS(Budget_items[Subheaders],'Data entry'!A330)&lt;10,".0"&amp;COUNTIFS(Budget_items[Subheaders],'Data entry'!A330),"."&amp;COUNTIFS(Budget_items[Subheaders],'Data entry'!A330))</f>
        <v>.00</v>
      </c>
    </row>
    <row r="331" spans="1:3" x14ac:dyDescent="0.3">
      <c r="A331" s="7">
        <f t="shared" si="14"/>
        <v>0</v>
      </c>
      <c r="B331" s="8" t="str">
        <f t="shared" si="15"/>
        <v>0.00</v>
      </c>
      <c r="C331" s="29" t="str">
        <f>IF(COUNTIFS(Budget_items[Subheaders],'Data entry'!A331)&lt;10,".0"&amp;COUNTIFS(Budget_items[Subheaders],'Data entry'!A331),"."&amp;COUNTIFS(Budget_items[Subheaders],'Data entry'!A331))</f>
        <v>.00</v>
      </c>
    </row>
    <row r="332" spans="1:3" x14ac:dyDescent="0.3">
      <c r="A332" s="7">
        <f t="shared" si="14"/>
        <v>0</v>
      </c>
      <c r="B332" s="8" t="str">
        <f t="shared" si="15"/>
        <v>0.00</v>
      </c>
      <c r="C332" s="29" t="str">
        <f>IF(COUNTIFS(Budget_items[Subheaders],'Data entry'!A332)&lt;10,".0"&amp;COUNTIFS(Budget_items[Subheaders],'Data entry'!A332),"."&amp;COUNTIFS(Budget_items[Subheaders],'Data entry'!A332))</f>
        <v>.00</v>
      </c>
    </row>
    <row r="333" spans="1:3" x14ac:dyDescent="0.3">
      <c r="A333" s="7">
        <f t="shared" si="14"/>
        <v>0</v>
      </c>
      <c r="B333" s="8" t="str">
        <f t="shared" si="15"/>
        <v>0.00</v>
      </c>
      <c r="C333" s="29" t="str">
        <f>IF(COUNTIFS(Budget_items[Subheaders],'Data entry'!A333)&lt;10,".0"&amp;COUNTIFS(Budget_items[Subheaders],'Data entry'!A333),"."&amp;COUNTIFS(Budget_items[Subheaders],'Data entry'!A333))</f>
        <v>.00</v>
      </c>
    </row>
    <row r="334" spans="1:3" x14ac:dyDescent="0.3">
      <c r="A334" s="7">
        <f t="shared" si="14"/>
        <v>0</v>
      </c>
      <c r="B334" s="8" t="str">
        <f t="shared" si="15"/>
        <v>0.00</v>
      </c>
      <c r="C334" s="29" t="str">
        <f>IF(COUNTIFS(Budget_items[Subheaders],'Data entry'!A334)&lt;10,".0"&amp;COUNTIFS(Budget_items[Subheaders],'Data entry'!A334),"."&amp;COUNTIFS(Budget_items[Subheaders],'Data entry'!A334))</f>
        <v>.00</v>
      </c>
    </row>
    <row r="335" spans="1:3" x14ac:dyDescent="0.3">
      <c r="A335" s="7">
        <f t="shared" si="14"/>
        <v>0</v>
      </c>
      <c r="B335" s="8" t="str">
        <f t="shared" si="15"/>
        <v>0.00</v>
      </c>
      <c r="C335" s="29" t="str">
        <f>IF(COUNTIFS(Budget_items[Subheaders],'Data entry'!A335)&lt;10,".0"&amp;COUNTIFS(Budget_items[Subheaders],'Data entry'!A335),"."&amp;COUNTIFS(Budget_items[Subheaders],'Data entry'!A335))</f>
        <v>.00</v>
      </c>
    </row>
    <row r="336" spans="1:3" x14ac:dyDescent="0.3">
      <c r="A336" s="7">
        <f t="shared" si="14"/>
        <v>0</v>
      </c>
      <c r="B336" s="8" t="str">
        <f t="shared" si="15"/>
        <v>0.00</v>
      </c>
      <c r="C336" s="29" t="str">
        <f>IF(COUNTIFS(Budget_items[Subheaders],'Data entry'!A336)&lt;10,".0"&amp;COUNTIFS(Budget_items[Subheaders],'Data entry'!A336),"."&amp;COUNTIFS(Budget_items[Subheaders],'Data entry'!A336))</f>
        <v>.00</v>
      </c>
    </row>
    <row r="337" spans="1:3" x14ac:dyDescent="0.3">
      <c r="A337" s="7">
        <f t="shared" si="14"/>
        <v>0</v>
      </c>
      <c r="B337" s="8" t="str">
        <f t="shared" si="15"/>
        <v>0.00</v>
      </c>
      <c r="C337" s="29" t="str">
        <f>IF(COUNTIFS(Budget_items[Subheaders],'Data entry'!A337)&lt;10,".0"&amp;COUNTIFS(Budget_items[Subheaders],'Data entry'!A337),"."&amp;COUNTIFS(Budget_items[Subheaders],'Data entry'!A337))</f>
        <v>.00</v>
      </c>
    </row>
    <row r="338" spans="1:3" x14ac:dyDescent="0.3">
      <c r="A338" s="7">
        <f t="shared" si="14"/>
        <v>0</v>
      </c>
      <c r="B338" s="8" t="str">
        <f t="shared" si="15"/>
        <v>0.00</v>
      </c>
      <c r="C338" s="29" t="str">
        <f>IF(COUNTIFS(Budget_items[Subheaders],'Data entry'!A338)&lt;10,".0"&amp;COUNTIFS(Budget_items[Subheaders],'Data entry'!A338),"."&amp;COUNTIFS(Budget_items[Subheaders],'Data entry'!A338))</f>
        <v>.00</v>
      </c>
    </row>
    <row r="339" spans="1:3" x14ac:dyDescent="0.3">
      <c r="A339" s="7">
        <f t="shared" si="14"/>
        <v>0</v>
      </c>
      <c r="B339" s="8" t="str">
        <f t="shared" si="15"/>
        <v>0.00</v>
      </c>
      <c r="C339" s="29" t="str">
        <f>IF(COUNTIFS(Budget_items[Subheaders],'Data entry'!A339)&lt;10,".0"&amp;COUNTIFS(Budget_items[Subheaders],'Data entry'!A339),"."&amp;COUNTIFS(Budget_items[Subheaders],'Data entry'!A339))</f>
        <v>.00</v>
      </c>
    </row>
    <row r="340" spans="1:3" x14ac:dyDescent="0.3">
      <c r="A340" s="7">
        <f t="shared" si="14"/>
        <v>0</v>
      </c>
      <c r="B340" s="8" t="str">
        <f t="shared" si="15"/>
        <v>0.00</v>
      </c>
      <c r="C340" s="29" t="str">
        <f>IF(COUNTIFS(Budget_items[Subheaders],'Data entry'!A340)&lt;10,".0"&amp;COUNTIFS(Budget_items[Subheaders],'Data entry'!A340),"."&amp;COUNTIFS(Budget_items[Subheaders],'Data entry'!A340))</f>
        <v>.00</v>
      </c>
    </row>
    <row r="341" spans="1:3" x14ac:dyDescent="0.3">
      <c r="A341" s="7">
        <f t="shared" si="14"/>
        <v>0</v>
      </c>
      <c r="B341" s="8" t="str">
        <f t="shared" si="15"/>
        <v>0.00</v>
      </c>
      <c r="C341" s="29" t="str">
        <f>IF(COUNTIFS(Budget_items[Subheaders],'Data entry'!A341)&lt;10,".0"&amp;COUNTIFS(Budget_items[Subheaders],'Data entry'!A341),"."&amp;COUNTIFS(Budget_items[Subheaders],'Data entry'!A341))</f>
        <v>.00</v>
      </c>
    </row>
    <row r="342" spans="1:3" x14ac:dyDescent="0.3">
      <c r="A342" s="7">
        <f t="shared" si="14"/>
        <v>0</v>
      </c>
      <c r="B342" s="8" t="str">
        <f t="shared" si="15"/>
        <v>0.00</v>
      </c>
      <c r="C342" s="29" t="str">
        <f>IF(COUNTIFS(Budget_items[Subheaders],'Data entry'!A342)&lt;10,".0"&amp;COUNTIFS(Budget_items[Subheaders],'Data entry'!A342),"."&amp;COUNTIFS(Budget_items[Subheaders],'Data entry'!A342))</f>
        <v>.00</v>
      </c>
    </row>
    <row r="343" spans="1:3" x14ac:dyDescent="0.3">
      <c r="A343" s="7">
        <f t="shared" si="14"/>
        <v>0</v>
      </c>
      <c r="B343" s="8" t="str">
        <f t="shared" si="15"/>
        <v>0.00</v>
      </c>
      <c r="C343" s="29" t="str">
        <f>IF(COUNTIFS(Budget_items[Subheaders],'Data entry'!A343)&lt;10,".0"&amp;COUNTIFS(Budget_items[Subheaders],'Data entry'!A343),"."&amp;COUNTIFS(Budget_items[Subheaders],'Data entry'!A343))</f>
        <v>.00</v>
      </c>
    </row>
    <row r="344" spans="1:3" x14ac:dyDescent="0.3">
      <c r="A344" s="7">
        <f t="shared" si="14"/>
        <v>0</v>
      </c>
      <c r="B344" s="8" t="str">
        <f t="shared" si="15"/>
        <v>0.00</v>
      </c>
      <c r="C344" s="29" t="str">
        <f>IF(COUNTIFS(Budget_items[Subheaders],'Data entry'!A344)&lt;10,".0"&amp;COUNTIFS(Budget_items[Subheaders],'Data entry'!A344),"."&amp;COUNTIFS(Budget_items[Subheaders],'Data entry'!A344))</f>
        <v>.00</v>
      </c>
    </row>
    <row r="345" spans="1:3" x14ac:dyDescent="0.3">
      <c r="A345" s="7">
        <f t="shared" si="14"/>
        <v>0</v>
      </c>
      <c r="B345" s="8" t="str">
        <f t="shared" si="15"/>
        <v>0.00</v>
      </c>
      <c r="C345" s="29" t="str">
        <f>IF(COUNTIFS(Budget_items[Subheaders],'Data entry'!A345)&lt;10,".0"&amp;COUNTIFS(Budget_items[Subheaders],'Data entry'!A345),"."&amp;COUNTIFS(Budget_items[Subheaders],'Data entry'!A345))</f>
        <v>.00</v>
      </c>
    </row>
    <row r="346" spans="1:3" x14ac:dyDescent="0.3">
      <c r="A346" s="7">
        <f t="shared" ref="A346:A409" si="16">P348</f>
        <v>0</v>
      </c>
      <c r="B346" s="8" t="str">
        <f t="shared" si="15"/>
        <v>0.00</v>
      </c>
      <c r="C346" s="29" t="str">
        <f>IF(COUNTIFS(Budget_items[Subheaders],'Data entry'!A346)&lt;10,".0"&amp;COUNTIFS(Budget_items[Subheaders],'Data entry'!A346),"."&amp;COUNTIFS(Budget_items[Subheaders],'Data entry'!A346))</f>
        <v>.00</v>
      </c>
    </row>
    <row r="347" spans="1:3" x14ac:dyDescent="0.3">
      <c r="A347" s="7">
        <f t="shared" si="16"/>
        <v>0</v>
      </c>
      <c r="B347" s="8" t="str">
        <f t="shared" si="15"/>
        <v>0.00</v>
      </c>
      <c r="C347" s="29" t="str">
        <f>IF(COUNTIFS(Budget_items[Subheaders],'Data entry'!A347)&lt;10,".0"&amp;COUNTIFS(Budget_items[Subheaders],'Data entry'!A347),"."&amp;COUNTIFS(Budget_items[Subheaders],'Data entry'!A347))</f>
        <v>.00</v>
      </c>
    </row>
    <row r="348" spans="1:3" x14ac:dyDescent="0.3">
      <c r="A348" s="7">
        <f t="shared" si="16"/>
        <v>0</v>
      </c>
      <c r="B348" s="8" t="str">
        <f t="shared" si="15"/>
        <v>0.00</v>
      </c>
      <c r="C348" s="29" t="str">
        <f>IF(COUNTIFS(Budget_items[Subheaders],'Data entry'!A348)&lt;10,".0"&amp;COUNTIFS(Budget_items[Subheaders],'Data entry'!A348),"."&amp;COUNTIFS(Budget_items[Subheaders],'Data entry'!A348))</f>
        <v>.00</v>
      </c>
    </row>
    <row r="349" spans="1:3" x14ac:dyDescent="0.3">
      <c r="A349" s="7">
        <f t="shared" si="16"/>
        <v>0</v>
      </c>
      <c r="B349" s="8" t="str">
        <f t="shared" si="15"/>
        <v>0.00</v>
      </c>
      <c r="C349" s="29" t="str">
        <f>IF(COUNTIFS(Budget_items[Subheaders],'Data entry'!A349)&lt;10,".0"&amp;COUNTIFS(Budget_items[Subheaders],'Data entry'!A349),"."&amp;COUNTIFS(Budget_items[Subheaders],'Data entry'!A349))</f>
        <v>.00</v>
      </c>
    </row>
    <row r="350" spans="1:3" x14ac:dyDescent="0.3">
      <c r="A350" s="7">
        <f t="shared" si="16"/>
        <v>0</v>
      </c>
      <c r="B350" s="8" t="str">
        <f t="shared" si="15"/>
        <v>0.00</v>
      </c>
      <c r="C350" s="29" t="str">
        <f>IF(COUNTIFS(Budget_items[Subheaders],'Data entry'!A350)&lt;10,".0"&amp;COUNTIFS(Budget_items[Subheaders],'Data entry'!A350),"."&amp;COUNTIFS(Budget_items[Subheaders],'Data entry'!A350))</f>
        <v>.00</v>
      </c>
    </row>
    <row r="351" spans="1:3" x14ac:dyDescent="0.3">
      <c r="A351" s="7">
        <f t="shared" si="16"/>
        <v>0</v>
      </c>
      <c r="B351" s="8" t="str">
        <f t="shared" si="15"/>
        <v>0.00</v>
      </c>
      <c r="C351" s="29" t="str">
        <f>IF(COUNTIFS(Budget_items[Subheaders],'Data entry'!A351)&lt;10,".0"&amp;COUNTIFS(Budget_items[Subheaders],'Data entry'!A351),"."&amp;COUNTIFS(Budget_items[Subheaders],'Data entry'!A351))</f>
        <v>.00</v>
      </c>
    </row>
    <row r="352" spans="1:3" x14ac:dyDescent="0.3">
      <c r="A352" s="7">
        <f t="shared" si="16"/>
        <v>0</v>
      </c>
      <c r="B352" s="8" t="str">
        <f t="shared" si="15"/>
        <v>0.00</v>
      </c>
      <c r="C352" s="29" t="str">
        <f>IF(COUNTIFS(Budget_items[Subheaders],'Data entry'!A352)&lt;10,".0"&amp;COUNTIFS(Budget_items[Subheaders],'Data entry'!A352),"."&amp;COUNTIFS(Budget_items[Subheaders],'Data entry'!A352))</f>
        <v>.00</v>
      </c>
    </row>
    <row r="353" spans="1:3" x14ac:dyDescent="0.3">
      <c r="A353" s="7">
        <f t="shared" si="16"/>
        <v>0</v>
      </c>
      <c r="B353" s="8" t="str">
        <f t="shared" si="15"/>
        <v>0.00</v>
      </c>
      <c r="C353" s="29" t="str">
        <f>IF(COUNTIFS(Budget_items[Subheaders],'Data entry'!A353)&lt;10,".0"&amp;COUNTIFS(Budget_items[Subheaders],'Data entry'!A353),"."&amp;COUNTIFS(Budget_items[Subheaders],'Data entry'!A353))</f>
        <v>.00</v>
      </c>
    </row>
    <row r="354" spans="1:3" x14ac:dyDescent="0.3">
      <c r="A354" s="7">
        <f t="shared" si="16"/>
        <v>0</v>
      </c>
      <c r="B354" s="8" t="str">
        <f t="shared" si="15"/>
        <v>0.00</v>
      </c>
      <c r="C354" s="29" t="str">
        <f>IF(COUNTIFS(Budget_items[Subheaders],'Data entry'!A354)&lt;10,".0"&amp;COUNTIFS(Budget_items[Subheaders],'Data entry'!A354),"."&amp;COUNTIFS(Budget_items[Subheaders],'Data entry'!A354))</f>
        <v>.00</v>
      </c>
    </row>
    <row r="355" spans="1:3" x14ac:dyDescent="0.3">
      <c r="A355" s="7">
        <f t="shared" si="16"/>
        <v>0</v>
      </c>
      <c r="B355" s="8" t="str">
        <f t="shared" si="15"/>
        <v>0.00</v>
      </c>
      <c r="C355" s="29" t="str">
        <f>IF(COUNTIFS(Budget_items[Subheaders],'Data entry'!A355)&lt;10,".0"&amp;COUNTIFS(Budget_items[Subheaders],'Data entry'!A355),"."&amp;COUNTIFS(Budget_items[Subheaders],'Data entry'!A355))</f>
        <v>.00</v>
      </c>
    </row>
    <row r="356" spans="1:3" x14ac:dyDescent="0.3">
      <c r="A356" s="7">
        <f t="shared" si="16"/>
        <v>0</v>
      </c>
      <c r="B356" s="8" t="str">
        <f t="shared" si="15"/>
        <v>0.00</v>
      </c>
      <c r="C356" s="29" t="str">
        <f>IF(COUNTIFS(Budget_items[Subheaders],'Data entry'!A356)&lt;10,".0"&amp;COUNTIFS(Budget_items[Subheaders],'Data entry'!A356),"."&amp;COUNTIFS(Budget_items[Subheaders],'Data entry'!A356))</f>
        <v>.00</v>
      </c>
    </row>
    <row r="357" spans="1:3" x14ac:dyDescent="0.3">
      <c r="A357" s="7">
        <f t="shared" si="16"/>
        <v>0</v>
      </c>
      <c r="B357" s="8" t="str">
        <f t="shared" si="15"/>
        <v>0.00</v>
      </c>
      <c r="C357" s="29" t="str">
        <f>IF(COUNTIFS(Budget_items[Subheaders],'Data entry'!A357)&lt;10,".0"&amp;COUNTIFS(Budget_items[Subheaders],'Data entry'!A357),"."&amp;COUNTIFS(Budget_items[Subheaders],'Data entry'!A357))</f>
        <v>.00</v>
      </c>
    </row>
    <row r="358" spans="1:3" x14ac:dyDescent="0.3">
      <c r="A358" s="7">
        <f t="shared" si="16"/>
        <v>0</v>
      </c>
      <c r="B358" s="8" t="str">
        <f t="shared" si="15"/>
        <v>0.00</v>
      </c>
      <c r="C358" s="29" t="str">
        <f>IF(COUNTIFS(Budget_items[Subheaders],'Data entry'!A358)&lt;10,".0"&amp;COUNTIFS(Budget_items[Subheaders],'Data entry'!A358),"."&amp;COUNTIFS(Budget_items[Subheaders],'Data entry'!A358))</f>
        <v>.00</v>
      </c>
    </row>
    <row r="359" spans="1:3" x14ac:dyDescent="0.3">
      <c r="A359" s="7">
        <f t="shared" si="16"/>
        <v>0</v>
      </c>
      <c r="B359" s="8" t="str">
        <f t="shared" si="15"/>
        <v>0.00</v>
      </c>
      <c r="C359" s="29" t="str">
        <f>IF(COUNTIFS(Budget_items[Subheaders],'Data entry'!A359)&lt;10,".0"&amp;COUNTIFS(Budget_items[Subheaders],'Data entry'!A359),"."&amp;COUNTIFS(Budget_items[Subheaders],'Data entry'!A359))</f>
        <v>.00</v>
      </c>
    </row>
    <row r="360" spans="1:3" x14ac:dyDescent="0.3">
      <c r="A360" s="7">
        <f t="shared" si="16"/>
        <v>0</v>
      </c>
      <c r="B360" s="8" t="str">
        <f t="shared" si="15"/>
        <v>0.00</v>
      </c>
      <c r="C360" s="29" t="str">
        <f>IF(COUNTIFS(Budget_items[Subheaders],'Data entry'!A360)&lt;10,".0"&amp;COUNTIFS(Budget_items[Subheaders],'Data entry'!A360),"."&amp;COUNTIFS(Budget_items[Subheaders],'Data entry'!A360))</f>
        <v>.00</v>
      </c>
    </row>
    <row r="361" spans="1:3" x14ac:dyDescent="0.3">
      <c r="A361" s="7">
        <f t="shared" si="16"/>
        <v>0</v>
      </c>
      <c r="B361" s="8" t="str">
        <f t="shared" si="15"/>
        <v>0.00</v>
      </c>
      <c r="C361" s="29" t="str">
        <f>IF(COUNTIFS(Budget_items[Subheaders],'Data entry'!A361)&lt;10,".0"&amp;COUNTIFS(Budget_items[Subheaders],'Data entry'!A361),"."&amp;COUNTIFS(Budget_items[Subheaders],'Data entry'!A361))</f>
        <v>.00</v>
      </c>
    </row>
    <row r="362" spans="1:3" x14ac:dyDescent="0.3">
      <c r="A362" s="7">
        <f t="shared" si="16"/>
        <v>0</v>
      </c>
      <c r="B362" s="8" t="str">
        <f t="shared" si="15"/>
        <v>0.00</v>
      </c>
      <c r="C362" s="29" t="str">
        <f>IF(COUNTIFS(Budget_items[Subheaders],'Data entry'!A362)&lt;10,".0"&amp;COUNTIFS(Budget_items[Subheaders],'Data entry'!A362),"."&amp;COUNTIFS(Budget_items[Subheaders],'Data entry'!A362))</f>
        <v>.00</v>
      </c>
    </row>
    <row r="363" spans="1:3" x14ac:dyDescent="0.3">
      <c r="A363" s="7">
        <f t="shared" si="16"/>
        <v>0</v>
      </c>
      <c r="B363" s="8" t="str">
        <f t="shared" si="15"/>
        <v>0.00</v>
      </c>
      <c r="C363" s="29" t="str">
        <f>IF(COUNTIFS(Budget_items[Subheaders],'Data entry'!A363)&lt;10,".0"&amp;COUNTIFS(Budget_items[Subheaders],'Data entry'!A363),"."&amp;COUNTIFS(Budget_items[Subheaders],'Data entry'!A363))</f>
        <v>.00</v>
      </c>
    </row>
    <row r="364" spans="1:3" x14ac:dyDescent="0.3">
      <c r="A364" s="7">
        <f t="shared" si="16"/>
        <v>0</v>
      </c>
      <c r="B364" s="8" t="str">
        <f t="shared" si="15"/>
        <v>0.00</v>
      </c>
      <c r="C364" s="29" t="str">
        <f>IF(COUNTIFS(Budget_items[Subheaders],'Data entry'!A364)&lt;10,".0"&amp;COUNTIFS(Budget_items[Subheaders],'Data entry'!A364),"."&amp;COUNTIFS(Budget_items[Subheaders],'Data entry'!A364))</f>
        <v>.00</v>
      </c>
    </row>
    <row r="365" spans="1:3" x14ac:dyDescent="0.3">
      <c r="A365" s="7">
        <f t="shared" si="16"/>
        <v>0</v>
      </c>
      <c r="B365" s="8" t="str">
        <f t="shared" si="15"/>
        <v>0.00</v>
      </c>
      <c r="C365" s="29" t="str">
        <f>IF(COUNTIFS(Budget_items[Subheaders],'Data entry'!A365)&lt;10,".0"&amp;COUNTIFS(Budget_items[Subheaders],'Data entry'!A365),"."&amp;COUNTIFS(Budget_items[Subheaders],'Data entry'!A365))</f>
        <v>.00</v>
      </c>
    </row>
    <row r="366" spans="1:3" x14ac:dyDescent="0.3">
      <c r="A366" s="7">
        <f t="shared" si="16"/>
        <v>0</v>
      </c>
      <c r="B366" s="8" t="str">
        <f t="shared" si="15"/>
        <v>0.00</v>
      </c>
      <c r="C366" s="29" t="str">
        <f>IF(COUNTIFS(Budget_items[Subheaders],'Data entry'!A366)&lt;10,".0"&amp;COUNTIFS(Budget_items[Subheaders],'Data entry'!A366),"."&amp;COUNTIFS(Budget_items[Subheaders],'Data entry'!A366))</f>
        <v>.00</v>
      </c>
    </row>
    <row r="367" spans="1:3" x14ac:dyDescent="0.3">
      <c r="A367" s="7">
        <f t="shared" si="16"/>
        <v>0</v>
      </c>
      <c r="B367" s="8" t="str">
        <f t="shared" si="15"/>
        <v>0.00</v>
      </c>
      <c r="C367" s="29" t="str">
        <f>IF(COUNTIFS(Budget_items[Subheaders],'Data entry'!A367)&lt;10,".0"&amp;COUNTIFS(Budget_items[Subheaders],'Data entry'!A367),"."&amp;COUNTIFS(Budget_items[Subheaders],'Data entry'!A367))</f>
        <v>.00</v>
      </c>
    </row>
    <row r="368" spans="1:3" x14ac:dyDescent="0.3">
      <c r="A368" s="7">
        <f t="shared" si="16"/>
        <v>0</v>
      </c>
      <c r="B368" s="8" t="str">
        <f t="shared" si="15"/>
        <v>0.00</v>
      </c>
      <c r="C368" s="29" t="str">
        <f>IF(COUNTIFS(Budget_items[Subheaders],'Data entry'!A368)&lt;10,".0"&amp;COUNTIFS(Budget_items[Subheaders],'Data entry'!A368),"."&amp;COUNTIFS(Budget_items[Subheaders],'Data entry'!A368))</f>
        <v>.00</v>
      </c>
    </row>
    <row r="369" spans="1:3" x14ac:dyDescent="0.3">
      <c r="A369" s="7">
        <f t="shared" si="16"/>
        <v>0</v>
      </c>
      <c r="B369" s="8" t="str">
        <f t="shared" si="15"/>
        <v>0.00</v>
      </c>
      <c r="C369" s="29" t="str">
        <f>IF(COUNTIFS(Budget_items[Subheaders],'Data entry'!A369)&lt;10,".0"&amp;COUNTIFS(Budget_items[Subheaders],'Data entry'!A369),"."&amp;COUNTIFS(Budget_items[Subheaders],'Data entry'!A369))</f>
        <v>.00</v>
      </c>
    </row>
    <row r="370" spans="1:3" x14ac:dyDescent="0.3">
      <c r="A370" s="7">
        <f t="shared" si="16"/>
        <v>0</v>
      </c>
      <c r="B370" s="8" t="str">
        <f t="shared" si="15"/>
        <v>0.00</v>
      </c>
      <c r="C370" s="29" t="str">
        <f>IF(COUNTIFS(Budget_items[Subheaders],'Data entry'!A370)&lt;10,".0"&amp;COUNTIFS(Budget_items[Subheaders],'Data entry'!A370),"."&amp;COUNTIFS(Budget_items[Subheaders],'Data entry'!A370))</f>
        <v>.00</v>
      </c>
    </row>
    <row r="371" spans="1:3" x14ac:dyDescent="0.3">
      <c r="A371" s="7">
        <f t="shared" si="16"/>
        <v>0</v>
      </c>
      <c r="B371" s="8" t="str">
        <f t="shared" si="15"/>
        <v>0.00</v>
      </c>
      <c r="C371" s="29" t="str">
        <f>IF(COUNTIFS(Budget_items[Subheaders],'Data entry'!A371)&lt;10,".0"&amp;COUNTIFS(Budget_items[Subheaders],'Data entry'!A371),"."&amp;COUNTIFS(Budget_items[Subheaders],'Data entry'!A371))</f>
        <v>.00</v>
      </c>
    </row>
    <row r="372" spans="1:3" x14ac:dyDescent="0.3">
      <c r="A372" s="7">
        <f t="shared" si="16"/>
        <v>0</v>
      </c>
      <c r="B372" s="8" t="str">
        <f t="shared" si="15"/>
        <v>0.00</v>
      </c>
      <c r="C372" s="29" t="str">
        <f>IF(COUNTIFS(Budget_items[Subheaders],'Data entry'!A372)&lt;10,".0"&amp;COUNTIFS(Budget_items[Subheaders],'Data entry'!A372),"."&amp;COUNTIFS(Budget_items[Subheaders],'Data entry'!A372))</f>
        <v>.00</v>
      </c>
    </row>
    <row r="373" spans="1:3" x14ac:dyDescent="0.3">
      <c r="A373" s="7">
        <f t="shared" si="16"/>
        <v>0</v>
      </c>
      <c r="B373" s="8" t="str">
        <f t="shared" si="15"/>
        <v>0.00</v>
      </c>
      <c r="C373" s="29" t="str">
        <f>IF(COUNTIFS(Budget_items[Subheaders],'Data entry'!A373)&lt;10,".0"&amp;COUNTIFS(Budget_items[Subheaders],'Data entry'!A373),"."&amp;COUNTIFS(Budget_items[Subheaders],'Data entry'!A373))</f>
        <v>.00</v>
      </c>
    </row>
    <row r="374" spans="1:3" x14ac:dyDescent="0.3">
      <c r="A374" s="7">
        <f t="shared" si="16"/>
        <v>0</v>
      </c>
      <c r="B374" s="8" t="str">
        <f t="shared" si="15"/>
        <v>0.00</v>
      </c>
      <c r="C374" s="29" t="str">
        <f>IF(COUNTIFS(Budget_items[Subheaders],'Data entry'!A374)&lt;10,".0"&amp;COUNTIFS(Budget_items[Subheaders],'Data entry'!A374),"."&amp;COUNTIFS(Budget_items[Subheaders],'Data entry'!A374))</f>
        <v>.00</v>
      </c>
    </row>
    <row r="375" spans="1:3" x14ac:dyDescent="0.3">
      <c r="A375" s="7">
        <f t="shared" si="16"/>
        <v>0</v>
      </c>
      <c r="B375" s="8" t="str">
        <f t="shared" si="15"/>
        <v>0.00</v>
      </c>
      <c r="C375" s="29" t="str">
        <f>IF(COUNTIFS(Budget_items[Subheaders],'Data entry'!A375)&lt;10,".0"&amp;COUNTIFS(Budget_items[Subheaders],'Data entry'!A375),"."&amp;COUNTIFS(Budget_items[Subheaders],'Data entry'!A375))</f>
        <v>.00</v>
      </c>
    </row>
    <row r="376" spans="1:3" x14ac:dyDescent="0.3">
      <c r="A376" s="7">
        <f t="shared" si="16"/>
        <v>0</v>
      </c>
      <c r="B376" s="8" t="str">
        <f t="shared" si="15"/>
        <v>0.00</v>
      </c>
      <c r="C376" s="29" t="str">
        <f>IF(COUNTIFS(Budget_items[Subheaders],'Data entry'!A376)&lt;10,".0"&amp;COUNTIFS(Budget_items[Subheaders],'Data entry'!A376),"."&amp;COUNTIFS(Budget_items[Subheaders],'Data entry'!A376))</f>
        <v>.00</v>
      </c>
    </row>
    <row r="377" spans="1:3" x14ac:dyDescent="0.3">
      <c r="A377" s="7">
        <f t="shared" si="16"/>
        <v>0</v>
      </c>
      <c r="B377" s="8" t="str">
        <f t="shared" si="15"/>
        <v>0.00</v>
      </c>
      <c r="C377" s="29" t="str">
        <f>IF(COUNTIFS(Budget_items[Subheaders],'Data entry'!A377)&lt;10,".0"&amp;COUNTIFS(Budget_items[Subheaders],'Data entry'!A377),"."&amp;COUNTIFS(Budget_items[Subheaders],'Data entry'!A377))</f>
        <v>.00</v>
      </c>
    </row>
    <row r="378" spans="1:3" x14ac:dyDescent="0.3">
      <c r="A378" s="7">
        <f t="shared" si="16"/>
        <v>0</v>
      </c>
      <c r="B378" s="8" t="str">
        <f t="shared" si="15"/>
        <v>0.00</v>
      </c>
      <c r="C378" s="29" t="str">
        <f>IF(COUNTIFS(Budget_items[Subheaders],'Data entry'!A378)&lt;10,".0"&amp;COUNTIFS(Budget_items[Subheaders],'Data entry'!A378),"."&amp;COUNTIFS(Budget_items[Subheaders],'Data entry'!A378))</f>
        <v>.00</v>
      </c>
    </row>
    <row r="379" spans="1:3" x14ac:dyDescent="0.3">
      <c r="A379" s="7">
        <f t="shared" si="16"/>
        <v>0</v>
      </c>
      <c r="B379" s="8" t="str">
        <f t="shared" si="15"/>
        <v>0.00</v>
      </c>
      <c r="C379" s="29" t="str">
        <f>IF(COUNTIFS(Budget_items[Subheaders],'Data entry'!A379)&lt;10,".0"&amp;COUNTIFS(Budget_items[Subheaders],'Data entry'!A379),"."&amp;COUNTIFS(Budget_items[Subheaders],'Data entry'!A379))</f>
        <v>.00</v>
      </c>
    </row>
    <row r="380" spans="1:3" x14ac:dyDescent="0.3">
      <c r="A380" s="7">
        <f t="shared" si="16"/>
        <v>0</v>
      </c>
      <c r="B380" s="8" t="str">
        <f t="shared" si="15"/>
        <v>0.00</v>
      </c>
      <c r="C380" s="29" t="str">
        <f>IF(COUNTIFS(Budget_items[Subheaders],'Data entry'!A380)&lt;10,".0"&amp;COUNTIFS(Budget_items[Subheaders],'Data entry'!A380),"."&amp;COUNTIFS(Budget_items[Subheaders],'Data entry'!A380))</f>
        <v>.00</v>
      </c>
    </row>
    <row r="381" spans="1:3" x14ac:dyDescent="0.3">
      <c r="A381" s="7">
        <f t="shared" si="16"/>
        <v>0</v>
      </c>
      <c r="B381" s="8" t="str">
        <f t="shared" si="15"/>
        <v>0.00</v>
      </c>
      <c r="C381" s="29" t="str">
        <f>IF(COUNTIFS(Budget_items[Subheaders],'Data entry'!A381)&lt;10,".0"&amp;COUNTIFS(Budget_items[Subheaders],'Data entry'!A381),"."&amp;COUNTIFS(Budget_items[Subheaders],'Data entry'!A381))</f>
        <v>.00</v>
      </c>
    </row>
    <row r="382" spans="1:3" x14ac:dyDescent="0.3">
      <c r="A382" s="7">
        <f t="shared" si="16"/>
        <v>0</v>
      </c>
      <c r="B382" s="8" t="str">
        <f t="shared" si="15"/>
        <v>0.00</v>
      </c>
      <c r="C382" s="29" t="str">
        <f>IF(COUNTIFS(Budget_items[Subheaders],'Data entry'!A382)&lt;10,".0"&amp;COUNTIFS(Budget_items[Subheaders],'Data entry'!A382),"."&amp;COUNTIFS(Budget_items[Subheaders],'Data entry'!A382))</f>
        <v>.00</v>
      </c>
    </row>
    <row r="383" spans="1:3" x14ac:dyDescent="0.3">
      <c r="A383" s="7">
        <f t="shared" si="16"/>
        <v>0</v>
      </c>
      <c r="B383" s="8" t="str">
        <f t="shared" si="15"/>
        <v>0.00</v>
      </c>
      <c r="C383" s="29" t="str">
        <f>IF(COUNTIFS(Budget_items[Subheaders],'Data entry'!A383)&lt;10,".0"&amp;COUNTIFS(Budget_items[Subheaders],'Data entry'!A383),"."&amp;COUNTIFS(Budget_items[Subheaders],'Data entry'!A383))</f>
        <v>.00</v>
      </c>
    </row>
    <row r="384" spans="1:3" x14ac:dyDescent="0.3">
      <c r="A384" s="7">
        <f t="shared" si="16"/>
        <v>0</v>
      </c>
      <c r="B384" s="8" t="str">
        <f t="shared" si="15"/>
        <v>0.00</v>
      </c>
      <c r="C384" s="29" t="str">
        <f>IF(COUNTIFS(Budget_items[Subheaders],'Data entry'!A384)&lt;10,".0"&amp;COUNTIFS(Budget_items[Subheaders],'Data entry'!A384),"."&amp;COUNTIFS(Budget_items[Subheaders],'Data entry'!A384))</f>
        <v>.00</v>
      </c>
    </row>
    <row r="385" spans="1:3" x14ac:dyDescent="0.3">
      <c r="A385" s="7">
        <f t="shared" si="16"/>
        <v>0</v>
      </c>
      <c r="B385" s="8" t="str">
        <f t="shared" si="15"/>
        <v>0.00</v>
      </c>
      <c r="C385" s="29" t="str">
        <f>IF(COUNTIFS(Budget_items[Subheaders],'Data entry'!A385)&lt;10,".0"&amp;COUNTIFS(Budget_items[Subheaders],'Data entry'!A385),"."&amp;COUNTIFS(Budget_items[Subheaders],'Data entry'!A385))</f>
        <v>.00</v>
      </c>
    </row>
    <row r="386" spans="1:3" x14ac:dyDescent="0.3">
      <c r="A386" s="7">
        <f t="shared" si="16"/>
        <v>0</v>
      </c>
      <c r="B386" s="8" t="str">
        <f t="shared" si="15"/>
        <v>0.00</v>
      </c>
      <c r="C386" s="29" t="str">
        <f>IF(COUNTIFS(Budget_items[Subheaders],'Data entry'!A386)&lt;10,".0"&amp;COUNTIFS(Budget_items[Subheaders],'Data entry'!A386),"."&amp;COUNTIFS(Budget_items[Subheaders],'Data entry'!A386))</f>
        <v>.00</v>
      </c>
    </row>
    <row r="387" spans="1:3" x14ac:dyDescent="0.3">
      <c r="A387" s="7">
        <f t="shared" si="16"/>
        <v>0</v>
      </c>
      <c r="B387" s="8" t="str">
        <f t="shared" ref="B387:B450" si="17">LEFT(A387,4)&amp;C387</f>
        <v>0.00</v>
      </c>
      <c r="C387" s="29" t="str">
        <f>IF(COUNTIFS(Budget_items[Subheaders],'Data entry'!A387)&lt;10,".0"&amp;COUNTIFS(Budget_items[Subheaders],'Data entry'!A387),"."&amp;COUNTIFS(Budget_items[Subheaders],'Data entry'!A387))</f>
        <v>.00</v>
      </c>
    </row>
    <row r="388" spans="1:3" x14ac:dyDescent="0.3">
      <c r="A388" s="7">
        <f t="shared" si="16"/>
        <v>0</v>
      </c>
      <c r="B388" s="8" t="str">
        <f t="shared" si="17"/>
        <v>0.00</v>
      </c>
      <c r="C388" s="29" t="str">
        <f>IF(COUNTIFS(Budget_items[Subheaders],'Data entry'!A388)&lt;10,".0"&amp;COUNTIFS(Budget_items[Subheaders],'Data entry'!A388),"."&amp;COUNTIFS(Budget_items[Subheaders],'Data entry'!A388))</f>
        <v>.00</v>
      </c>
    </row>
    <row r="389" spans="1:3" x14ac:dyDescent="0.3">
      <c r="A389" s="7">
        <f t="shared" si="16"/>
        <v>0</v>
      </c>
      <c r="B389" s="8" t="str">
        <f t="shared" si="17"/>
        <v>0.00</v>
      </c>
      <c r="C389" s="29" t="str">
        <f>IF(COUNTIFS(Budget_items[Subheaders],'Data entry'!A389)&lt;10,".0"&amp;COUNTIFS(Budget_items[Subheaders],'Data entry'!A389),"."&amp;COUNTIFS(Budget_items[Subheaders],'Data entry'!A389))</f>
        <v>.00</v>
      </c>
    </row>
    <row r="390" spans="1:3" x14ac:dyDescent="0.3">
      <c r="A390" s="7">
        <f t="shared" si="16"/>
        <v>0</v>
      </c>
      <c r="B390" s="8" t="str">
        <f t="shared" si="17"/>
        <v>0.00</v>
      </c>
      <c r="C390" s="29" t="str">
        <f>IF(COUNTIFS(Budget_items[Subheaders],'Data entry'!A390)&lt;10,".0"&amp;COUNTIFS(Budget_items[Subheaders],'Data entry'!A390),"."&amp;COUNTIFS(Budget_items[Subheaders],'Data entry'!A390))</f>
        <v>.00</v>
      </c>
    </row>
    <row r="391" spans="1:3" x14ac:dyDescent="0.3">
      <c r="A391" s="7">
        <f t="shared" si="16"/>
        <v>0</v>
      </c>
      <c r="B391" s="8" t="str">
        <f t="shared" si="17"/>
        <v>0.00</v>
      </c>
      <c r="C391" s="29" t="str">
        <f>IF(COUNTIFS(Budget_items[Subheaders],'Data entry'!A391)&lt;10,".0"&amp;COUNTIFS(Budget_items[Subheaders],'Data entry'!A391),"."&amp;COUNTIFS(Budget_items[Subheaders],'Data entry'!A391))</f>
        <v>.00</v>
      </c>
    </row>
    <row r="392" spans="1:3" x14ac:dyDescent="0.3">
      <c r="A392" s="7">
        <f t="shared" si="16"/>
        <v>0</v>
      </c>
      <c r="B392" s="8" t="str">
        <f t="shared" si="17"/>
        <v>0.00</v>
      </c>
      <c r="C392" s="29" t="str">
        <f>IF(COUNTIFS(Budget_items[Subheaders],'Data entry'!A392)&lt;10,".0"&amp;COUNTIFS(Budget_items[Subheaders],'Data entry'!A392),"."&amp;COUNTIFS(Budget_items[Subheaders],'Data entry'!A392))</f>
        <v>.00</v>
      </c>
    </row>
    <row r="393" spans="1:3" x14ac:dyDescent="0.3">
      <c r="A393" s="7">
        <f t="shared" si="16"/>
        <v>0</v>
      </c>
      <c r="B393" s="8" t="str">
        <f t="shared" si="17"/>
        <v>0.00</v>
      </c>
      <c r="C393" s="29" t="str">
        <f>IF(COUNTIFS(Budget_items[Subheaders],'Data entry'!A393)&lt;10,".0"&amp;COUNTIFS(Budget_items[Subheaders],'Data entry'!A393),"."&amp;COUNTIFS(Budget_items[Subheaders],'Data entry'!A393))</f>
        <v>.00</v>
      </c>
    </row>
    <row r="394" spans="1:3" x14ac:dyDescent="0.3">
      <c r="A394" s="7">
        <f t="shared" si="16"/>
        <v>0</v>
      </c>
      <c r="B394" s="8" t="str">
        <f t="shared" si="17"/>
        <v>0.00</v>
      </c>
      <c r="C394" s="29" t="str">
        <f>IF(COUNTIFS(Budget_items[Subheaders],'Data entry'!A394)&lt;10,".0"&amp;COUNTIFS(Budget_items[Subheaders],'Data entry'!A394),"."&amp;COUNTIFS(Budget_items[Subheaders],'Data entry'!A394))</f>
        <v>.00</v>
      </c>
    </row>
    <row r="395" spans="1:3" x14ac:dyDescent="0.3">
      <c r="A395" s="7">
        <f t="shared" si="16"/>
        <v>0</v>
      </c>
      <c r="B395" s="8" t="str">
        <f t="shared" si="17"/>
        <v>0.00</v>
      </c>
      <c r="C395" s="29" t="str">
        <f>IF(COUNTIFS(Budget_items[Subheaders],'Data entry'!A395)&lt;10,".0"&amp;COUNTIFS(Budget_items[Subheaders],'Data entry'!A395),"."&amp;COUNTIFS(Budget_items[Subheaders],'Data entry'!A395))</f>
        <v>.00</v>
      </c>
    </row>
    <row r="396" spans="1:3" x14ac:dyDescent="0.3">
      <c r="A396" s="7">
        <f t="shared" si="16"/>
        <v>0</v>
      </c>
      <c r="B396" s="8" t="str">
        <f t="shared" si="17"/>
        <v>0.00</v>
      </c>
      <c r="C396" s="29" t="str">
        <f>IF(COUNTIFS(Budget_items[Subheaders],'Data entry'!A396)&lt;10,".0"&amp;COUNTIFS(Budget_items[Subheaders],'Data entry'!A396),"."&amp;COUNTIFS(Budget_items[Subheaders],'Data entry'!A396))</f>
        <v>.00</v>
      </c>
    </row>
    <row r="397" spans="1:3" x14ac:dyDescent="0.3">
      <c r="A397" s="7">
        <f t="shared" si="16"/>
        <v>0</v>
      </c>
      <c r="B397" s="8" t="str">
        <f t="shared" si="17"/>
        <v>0.00</v>
      </c>
      <c r="C397" s="29" t="str">
        <f>IF(COUNTIFS(Budget_items[Subheaders],'Data entry'!A397)&lt;10,".0"&amp;COUNTIFS(Budget_items[Subheaders],'Data entry'!A397),"."&amp;COUNTIFS(Budget_items[Subheaders],'Data entry'!A397))</f>
        <v>.00</v>
      </c>
    </row>
    <row r="398" spans="1:3" x14ac:dyDescent="0.3">
      <c r="A398" s="7">
        <f t="shared" si="16"/>
        <v>0</v>
      </c>
      <c r="B398" s="8" t="str">
        <f t="shared" si="17"/>
        <v>0.00</v>
      </c>
      <c r="C398" s="29" t="str">
        <f>IF(COUNTIFS(Budget_items[Subheaders],'Data entry'!A398)&lt;10,".0"&amp;COUNTIFS(Budget_items[Subheaders],'Data entry'!A398),"."&amp;COUNTIFS(Budget_items[Subheaders],'Data entry'!A398))</f>
        <v>.00</v>
      </c>
    </row>
    <row r="399" spans="1:3" x14ac:dyDescent="0.3">
      <c r="A399" s="7">
        <f t="shared" si="16"/>
        <v>0</v>
      </c>
      <c r="B399" s="8" t="str">
        <f t="shared" si="17"/>
        <v>0.00</v>
      </c>
      <c r="C399" s="29" t="str">
        <f>IF(COUNTIFS(Budget_items[Subheaders],'Data entry'!A399)&lt;10,".0"&amp;COUNTIFS(Budget_items[Subheaders],'Data entry'!A399),"."&amp;COUNTIFS(Budget_items[Subheaders],'Data entry'!A399))</f>
        <v>.00</v>
      </c>
    </row>
    <row r="400" spans="1:3" x14ac:dyDescent="0.3">
      <c r="A400" s="7">
        <f t="shared" si="16"/>
        <v>0</v>
      </c>
      <c r="B400" s="8" t="str">
        <f t="shared" si="17"/>
        <v>0.00</v>
      </c>
      <c r="C400" s="29" t="str">
        <f>IF(COUNTIFS(Budget_items[Subheaders],'Data entry'!A400)&lt;10,".0"&amp;COUNTIFS(Budget_items[Subheaders],'Data entry'!A400),"."&amp;COUNTIFS(Budget_items[Subheaders],'Data entry'!A400))</f>
        <v>.00</v>
      </c>
    </row>
    <row r="401" spans="1:3" x14ac:dyDescent="0.3">
      <c r="A401" s="7">
        <f t="shared" si="16"/>
        <v>0</v>
      </c>
      <c r="B401" s="8" t="str">
        <f t="shared" si="17"/>
        <v>0.00</v>
      </c>
      <c r="C401" s="29" t="str">
        <f>IF(COUNTIFS(Budget_items[Subheaders],'Data entry'!A401)&lt;10,".0"&amp;COUNTIFS(Budget_items[Subheaders],'Data entry'!A401),"."&amp;COUNTIFS(Budget_items[Subheaders],'Data entry'!A401))</f>
        <v>.00</v>
      </c>
    </row>
    <row r="402" spans="1:3" x14ac:dyDescent="0.3">
      <c r="A402" s="7">
        <f t="shared" si="16"/>
        <v>0</v>
      </c>
      <c r="B402" s="8" t="str">
        <f t="shared" si="17"/>
        <v>0.00</v>
      </c>
      <c r="C402" s="29" t="str">
        <f>IF(COUNTIFS(Budget_items[Subheaders],'Data entry'!A402)&lt;10,".0"&amp;COUNTIFS(Budget_items[Subheaders],'Data entry'!A402),"."&amp;COUNTIFS(Budget_items[Subheaders],'Data entry'!A402))</f>
        <v>.00</v>
      </c>
    </row>
    <row r="403" spans="1:3" x14ac:dyDescent="0.3">
      <c r="A403" s="7">
        <f t="shared" si="16"/>
        <v>0</v>
      </c>
      <c r="B403" s="8" t="str">
        <f t="shared" si="17"/>
        <v>0.00</v>
      </c>
      <c r="C403" s="29" t="str">
        <f>IF(COUNTIFS(Budget_items[Subheaders],'Data entry'!A403)&lt;10,".0"&amp;COUNTIFS(Budget_items[Subheaders],'Data entry'!A403),"."&amp;COUNTIFS(Budget_items[Subheaders],'Data entry'!A403))</f>
        <v>.00</v>
      </c>
    </row>
    <row r="404" spans="1:3" x14ac:dyDescent="0.3">
      <c r="A404" s="7">
        <f t="shared" si="16"/>
        <v>0</v>
      </c>
      <c r="B404" s="8" t="str">
        <f t="shared" si="17"/>
        <v>0.00</v>
      </c>
      <c r="C404" s="29" t="str">
        <f>IF(COUNTIFS(Budget_items[Subheaders],'Data entry'!A404)&lt;10,".0"&amp;COUNTIFS(Budget_items[Subheaders],'Data entry'!A404),"."&amp;COUNTIFS(Budget_items[Subheaders],'Data entry'!A404))</f>
        <v>.00</v>
      </c>
    </row>
    <row r="405" spans="1:3" x14ac:dyDescent="0.3">
      <c r="A405" s="7">
        <f t="shared" si="16"/>
        <v>0</v>
      </c>
      <c r="B405" s="8" t="str">
        <f t="shared" si="17"/>
        <v>0.00</v>
      </c>
      <c r="C405" s="29" t="str">
        <f>IF(COUNTIFS(Budget_items[Subheaders],'Data entry'!A405)&lt;10,".0"&amp;COUNTIFS(Budget_items[Subheaders],'Data entry'!A405),"."&amp;COUNTIFS(Budget_items[Subheaders],'Data entry'!A405))</f>
        <v>.00</v>
      </c>
    </row>
    <row r="406" spans="1:3" x14ac:dyDescent="0.3">
      <c r="A406" s="7">
        <f t="shared" si="16"/>
        <v>0</v>
      </c>
      <c r="B406" s="8" t="str">
        <f t="shared" si="17"/>
        <v>0.00</v>
      </c>
      <c r="C406" s="29" t="str">
        <f>IF(COUNTIFS(Budget_items[Subheaders],'Data entry'!A406)&lt;10,".0"&amp;COUNTIFS(Budget_items[Subheaders],'Data entry'!A406),"."&amp;COUNTIFS(Budget_items[Subheaders],'Data entry'!A406))</f>
        <v>.00</v>
      </c>
    </row>
    <row r="407" spans="1:3" x14ac:dyDescent="0.3">
      <c r="A407" s="7">
        <f t="shared" si="16"/>
        <v>0</v>
      </c>
      <c r="B407" s="8" t="str">
        <f t="shared" si="17"/>
        <v>0.00</v>
      </c>
      <c r="C407" s="29" t="str">
        <f>IF(COUNTIFS(Budget_items[Subheaders],'Data entry'!A407)&lt;10,".0"&amp;COUNTIFS(Budget_items[Subheaders],'Data entry'!A407),"."&amp;COUNTIFS(Budget_items[Subheaders],'Data entry'!A407))</f>
        <v>.00</v>
      </c>
    </row>
    <row r="408" spans="1:3" x14ac:dyDescent="0.3">
      <c r="A408" s="7">
        <f t="shared" si="16"/>
        <v>0</v>
      </c>
      <c r="B408" s="8" t="str">
        <f t="shared" si="17"/>
        <v>0.00</v>
      </c>
      <c r="C408" s="29" t="str">
        <f>IF(COUNTIFS(Budget_items[Subheaders],'Data entry'!A408)&lt;10,".0"&amp;COUNTIFS(Budget_items[Subheaders],'Data entry'!A408),"."&amp;COUNTIFS(Budget_items[Subheaders],'Data entry'!A408))</f>
        <v>.00</v>
      </c>
    </row>
    <row r="409" spans="1:3" x14ac:dyDescent="0.3">
      <c r="A409" s="7">
        <f t="shared" si="16"/>
        <v>0</v>
      </c>
      <c r="B409" s="8" t="str">
        <f t="shared" si="17"/>
        <v>0.00</v>
      </c>
      <c r="C409" s="29" t="str">
        <f>IF(COUNTIFS(Budget_items[Subheaders],'Data entry'!A409)&lt;10,".0"&amp;COUNTIFS(Budget_items[Subheaders],'Data entry'!A409),"."&amp;COUNTIFS(Budget_items[Subheaders],'Data entry'!A409))</f>
        <v>.00</v>
      </c>
    </row>
    <row r="410" spans="1:3" x14ac:dyDescent="0.3">
      <c r="A410" s="7">
        <f t="shared" ref="A410:A473" si="18">P412</f>
        <v>0</v>
      </c>
      <c r="B410" s="8" t="str">
        <f t="shared" si="17"/>
        <v>0.00</v>
      </c>
      <c r="C410" s="29" t="str">
        <f>IF(COUNTIFS(Budget_items[Subheaders],'Data entry'!A410)&lt;10,".0"&amp;COUNTIFS(Budget_items[Subheaders],'Data entry'!A410),"."&amp;COUNTIFS(Budget_items[Subheaders],'Data entry'!A410))</f>
        <v>.00</v>
      </c>
    </row>
    <row r="411" spans="1:3" x14ac:dyDescent="0.3">
      <c r="A411" s="7">
        <f t="shared" si="18"/>
        <v>0</v>
      </c>
      <c r="B411" s="8" t="str">
        <f t="shared" si="17"/>
        <v>0.00</v>
      </c>
      <c r="C411" s="29" t="str">
        <f>IF(COUNTIFS(Budget_items[Subheaders],'Data entry'!A411)&lt;10,".0"&amp;COUNTIFS(Budget_items[Subheaders],'Data entry'!A411),"."&amp;COUNTIFS(Budget_items[Subheaders],'Data entry'!A411))</f>
        <v>.00</v>
      </c>
    </row>
    <row r="412" spans="1:3" x14ac:dyDescent="0.3">
      <c r="A412" s="7">
        <f t="shared" si="18"/>
        <v>0</v>
      </c>
      <c r="B412" s="8" t="str">
        <f t="shared" si="17"/>
        <v>0.00</v>
      </c>
      <c r="C412" s="29" t="str">
        <f>IF(COUNTIFS(Budget_items[Subheaders],'Data entry'!A412)&lt;10,".0"&amp;COUNTIFS(Budget_items[Subheaders],'Data entry'!A412),"."&amp;COUNTIFS(Budget_items[Subheaders],'Data entry'!A412))</f>
        <v>.00</v>
      </c>
    </row>
    <row r="413" spans="1:3" x14ac:dyDescent="0.3">
      <c r="A413" s="7">
        <f t="shared" si="18"/>
        <v>0</v>
      </c>
      <c r="B413" s="8" t="str">
        <f t="shared" si="17"/>
        <v>0.00</v>
      </c>
      <c r="C413" s="29" t="str">
        <f>IF(COUNTIFS(Budget_items[Subheaders],'Data entry'!A413)&lt;10,".0"&amp;COUNTIFS(Budget_items[Subheaders],'Data entry'!A413),"."&amp;COUNTIFS(Budget_items[Subheaders],'Data entry'!A413))</f>
        <v>.00</v>
      </c>
    </row>
    <row r="414" spans="1:3" x14ac:dyDescent="0.3">
      <c r="A414" s="7">
        <f t="shared" si="18"/>
        <v>0</v>
      </c>
      <c r="B414" s="8" t="str">
        <f t="shared" si="17"/>
        <v>0.00</v>
      </c>
      <c r="C414" s="29" t="str">
        <f>IF(COUNTIFS(Budget_items[Subheaders],'Data entry'!A414)&lt;10,".0"&amp;COUNTIFS(Budget_items[Subheaders],'Data entry'!A414),"."&amp;COUNTIFS(Budget_items[Subheaders],'Data entry'!A414))</f>
        <v>.00</v>
      </c>
    </row>
    <row r="415" spans="1:3" x14ac:dyDescent="0.3">
      <c r="A415" s="7">
        <f t="shared" si="18"/>
        <v>0</v>
      </c>
      <c r="B415" s="8" t="str">
        <f t="shared" si="17"/>
        <v>0.00</v>
      </c>
      <c r="C415" s="29" t="str">
        <f>IF(COUNTIFS(Budget_items[Subheaders],'Data entry'!A415)&lt;10,".0"&amp;COUNTIFS(Budget_items[Subheaders],'Data entry'!A415),"."&amp;COUNTIFS(Budget_items[Subheaders],'Data entry'!A415))</f>
        <v>.00</v>
      </c>
    </row>
    <row r="416" spans="1:3" x14ac:dyDescent="0.3">
      <c r="A416" s="7">
        <f t="shared" si="18"/>
        <v>0</v>
      </c>
      <c r="B416" s="8" t="str">
        <f t="shared" si="17"/>
        <v>0.00</v>
      </c>
      <c r="C416" s="29" t="str">
        <f>IF(COUNTIFS(Budget_items[Subheaders],'Data entry'!A416)&lt;10,".0"&amp;COUNTIFS(Budget_items[Subheaders],'Data entry'!A416),"."&amp;COUNTIFS(Budget_items[Subheaders],'Data entry'!A416))</f>
        <v>.00</v>
      </c>
    </row>
    <row r="417" spans="1:3" x14ac:dyDescent="0.3">
      <c r="A417" s="7">
        <f t="shared" si="18"/>
        <v>0</v>
      </c>
      <c r="B417" s="8" t="str">
        <f t="shared" si="17"/>
        <v>0.00</v>
      </c>
      <c r="C417" s="29" t="str">
        <f>IF(COUNTIFS(Budget_items[Subheaders],'Data entry'!A417)&lt;10,".0"&amp;COUNTIFS(Budget_items[Subheaders],'Data entry'!A417),"."&amp;COUNTIFS(Budget_items[Subheaders],'Data entry'!A417))</f>
        <v>.00</v>
      </c>
    </row>
    <row r="418" spans="1:3" x14ac:dyDescent="0.3">
      <c r="A418" s="7">
        <f t="shared" si="18"/>
        <v>0</v>
      </c>
      <c r="B418" s="8" t="str">
        <f t="shared" si="17"/>
        <v>0.00</v>
      </c>
      <c r="C418" s="29" t="str">
        <f>IF(COUNTIFS(Budget_items[Subheaders],'Data entry'!A418)&lt;10,".0"&amp;COUNTIFS(Budget_items[Subheaders],'Data entry'!A418),"."&amp;COUNTIFS(Budget_items[Subheaders],'Data entry'!A418))</f>
        <v>.00</v>
      </c>
    </row>
    <row r="419" spans="1:3" x14ac:dyDescent="0.3">
      <c r="A419" s="7">
        <f t="shared" si="18"/>
        <v>0</v>
      </c>
      <c r="B419" s="8" t="str">
        <f t="shared" si="17"/>
        <v>0.00</v>
      </c>
      <c r="C419" s="29" t="str">
        <f>IF(COUNTIFS(Budget_items[Subheaders],'Data entry'!A419)&lt;10,".0"&amp;COUNTIFS(Budget_items[Subheaders],'Data entry'!A419),"."&amp;COUNTIFS(Budget_items[Subheaders],'Data entry'!A419))</f>
        <v>.00</v>
      </c>
    </row>
    <row r="420" spans="1:3" x14ac:dyDescent="0.3">
      <c r="A420" s="7">
        <f t="shared" si="18"/>
        <v>0</v>
      </c>
      <c r="B420" s="8" t="str">
        <f t="shared" si="17"/>
        <v>0.00</v>
      </c>
      <c r="C420" s="29" t="str">
        <f>IF(COUNTIFS(Budget_items[Subheaders],'Data entry'!A420)&lt;10,".0"&amp;COUNTIFS(Budget_items[Subheaders],'Data entry'!A420),"."&amp;COUNTIFS(Budget_items[Subheaders],'Data entry'!A420))</f>
        <v>.00</v>
      </c>
    </row>
    <row r="421" spans="1:3" x14ac:dyDescent="0.3">
      <c r="A421" s="7">
        <f t="shared" si="18"/>
        <v>0</v>
      </c>
      <c r="B421" s="8" t="str">
        <f t="shared" si="17"/>
        <v>0.00</v>
      </c>
      <c r="C421" s="29" t="str">
        <f>IF(COUNTIFS(Budget_items[Subheaders],'Data entry'!A421)&lt;10,".0"&amp;COUNTIFS(Budget_items[Subheaders],'Data entry'!A421),"."&amp;COUNTIFS(Budget_items[Subheaders],'Data entry'!A421))</f>
        <v>.00</v>
      </c>
    </row>
    <row r="422" spans="1:3" x14ac:dyDescent="0.3">
      <c r="A422" s="7">
        <f t="shared" si="18"/>
        <v>0</v>
      </c>
      <c r="B422" s="8" t="str">
        <f t="shared" si="17"/>
        <v>0.00</v>
      </c>
      <c r="C422" s="29" t="str">
        <f>IF(COUNTIFS(Budget_items[Subheaders],'Data entry'!A422)&lt;10,".0"&amp;COUNTIFS(Budget_items[Subheaders],'Data entry'!A422),"."&amp;COUNTIFS(Budget_items[Subheaders],'Data entry'!A422))</f>
        <v>.00</v>
      </c>
    </row>
    <row r="423" spans="1:3" x14ac:dyDescent="0.3">
      <c r="A423" s="7">
        <f t="shared" si="18"/>
        <v>0</v>
      </c>
      <c r="B423" s="8" t="str">
        <f t="shared" si="17"/>
        <v>0.00</v>
      </c>
      <c r="C423" s="29" t="str">
        <f>IF(COUNTIFS(Budget_items[Subheaders],'Data entry'!A423)&lt;10,".0"&amp;COUNTIFS(Budget_items[Subheaders],'Data entry'!A423),"."&amp;COUNTIFS(Budget_items[Subheaders],'Data entry'!A423))</f>
        <v>.00</v>
      </c>
    </row>
    <row r="424" spans="1:3" x14ac:dyDescent="0.3">
      <c r="A424" s="7">
        <f t="shared" si="18"/>
        <v>0</v>
      </c>
      <c r="B424" s="8" t="str">
        <f t="shared" si="17"/>
        <v>0.00</v>
      </c>
      <c r="C424" s="29" t="str">
        <f>IF(COUNTIFS(Budget_items[Subheaders],'Data entry'!A424)&lt;10,".0"&amp;COUNTIFS(Budget_items[Subheaders],'Data entry'!A424),"."&amp;COUNTIFS(Budget_items[Subheaders],'Data entry'!A424))</f>
        <v>.00</v>
      </c>
    </row>
    <row r="425" spans="1:3" x14ac:dyDescent="0.3">
      <c r="A425" s="7">
        <f t="shared" si="18"/>
        <v>0</v>
      </c>
      <c r="B425" s="8" t="str">
        <f t="shared" si="17"/>
        <v>0.00</v>
      </c>
      <c r="C425" s="29" t="str">
        <f>IF(COUNTIFS(Budget_items[Subheaders],'Data entry'!A425)&lt;10,".0"&amp;COUNTIFS(Budget_items[Subheaders],'Data entry'!A425),"."&amp;COUNTIFS(Budget_items[Subheaders],'Data entry'!A425))</f>
        <v>.00</v>
      </c>
    </row>
    <row r="426" spans="1:3" x14ac:dyDescent="0.3">
      <c r="A426" s="7">
        <f t="shared" si="18"/>
        <v>0</v>
      </c>
      <c r="B426" s="8" t="str">
        <f t="shared" si="17"/>
        <v>0.00</v>
      </c>
      <c r="C426" s="29" t="str">
        <f>IF(COUNTIFS(Budget_items[Subheaders],'Data entry'!A426)&lt;10,".0"&amp;COUNTIFS(Budget_items[Subheaders],'Data entry'!A426),"."&amp;COUNTIFS(Budget_items[Subheaders],'Data entry'!A426))</f>
        <v>.00</v>
      </c>
    </row>
    <row r="427" spans="1:3" x14ac:dyDescent="0.3">
      <c r="A427" s="7">
        <f t="shared" si="18"/>
        <v>0</v>
      </c>
      <c r="B427" s="8" t="str">
        <f t="shared" si="17"/>
        <v>0.00</v>
      </c>
      <c r="C427" s="29" t="str">
        <f>IF(COUNTIFS(Budget_items[Subheaders],'Data entry'!A427)&lt;10,".0"&amp;COUNTIFS(Budget_items[Subheaders],'Data entry'!A427),"."&amp;COUNTIFS(Budget_items[Subheaders],'Data entry'!A427))</f>
        <v>.00</v>
      </c>
    </row>
    <row r="428" spans="1:3" x14ac:dyDescent="0.3">
      <c r="A428" s="7">
        <f t="shared" si="18"/>
        <v>0</v>
      </c>
      <c r="B428" s="8" t="str">
        <f t="shared" si="17"/>
        <v>0.00</v>
      </c>
      <c r="C428" s="29" t="str">
        <f>IF(COUNTIFS(Budget_items[Subheaders],'Data entry'!A428)&lt;10,".0"&amp;COUNTIFS(Budget_items[Subheaders],'Data entry'!A428),"."&amp;COUNTIFS(Budget_items[Subheaders],'Data entry'!A428))</f>
        <v>.00</v>
      </c>
    </row>
    <row r="429" spans="1:3" x14ac:dyDescent="0.3">
      <c r="A429" s="7">
        <f t="shared" si="18"/>
        <v>0</v>
      </c>
      <c r="B429" s="8" t="str">
        <f t="shared" si="17"/>
        <v>0.00</v>
      </c>
      <c r="C429" s="29" t="str">
        <f>IF(COUNTIFS(Budget_items[Subheaders],'Data entry'!A429)&lt;10,".0"&amp;COUNTIFS(Budget_items[Subheaders],'Data entry'!A429),"."&amp;COUNTIFS(Budget_items[Subheaders],'Data entry'!A429))</f>
        <v>.00</v>
      </c>
    </row>
    <row r="430" spans="1:3" x14ac:dyDescent="0.3">
      <c r="A430" s="7">
        <f t="shared" si="18"/>
        <v>0</v>
      </c>
      <c r="B430" s="8" t="str">
        <f t="shared" si="17"/>
        <v>0.00</v>
      </c>
      <c r="C430" s="29" t="str">
        <f>IF(COUNTIFS(Budget_items[Subheaders],'Data entry'!A430)&lt;10,".0"&amp;COUNTIFS(Budget_items[Subheaders],'Data entry'!A430),"."&amp;COUNTIFS(Budget_items[Subheaders],'Data entry'!A430))</f>
        <v>.00</v>
      </c>
    </row>
    <row r="431" spans="1:3" x14ac:dyDescent="0.3">
      <c r="A431" s="7">
        <f t="shared" si="18"/>
        <v>0</v>
      </c>
      <c r="B431" s="8" t="str">
        <f t="shared" si="17"/>
        <v>0.00</v>
      </c>
      <c r="C431" s="29" t="str">
        <f>IF(COUNTIFS(Budget_items[Subheaders],'Data entry'!A431)&lt;10,".0"&amp;COUNTIFS(Budget_items[Subheaders],'Data entry'!A431),"."&amp;COUNTIFS(Budget_items[Subheaders],'Data entry'!A431))</f>
        <v>.00</v>
      </c>
    </row>
    <row r="432" spans="1:3" x14ac:dyDescent="0.3">
      <c r="A432" s="7">
        <f t="shared" si="18"/>
        <v>0</v>
      </c>
      <c r="B432" s="8" t="str">
        <f t="shared" si="17"/>
        <v>0.00</v>
      </c>
      <c r="C432" s="29" t="str">
        <f>IF(COUNTIFS(Budget_items[Subheaders],'Data entry'!A432)&lt;10,".0"&amp;COUNTIFS(Budget_items[Subheaders],'Data entry'!A432),"."&amp;COUNTIFS(Budget_items[Subheaders],'Data entry'!A432))</f>
        <v>.00</v>
      </c>
    </row>
    <row r="433" spans="1:3" x14ac:dyDescent="0.3">
      <c r="A433" s="7">
        <f t="shared" si="18"/>
        <v>0</v>
      </c>
      <c r="B433" s="8" t="str">
        <f t="shared" si="17"/>
        <v>0.00</v>
      </c>
      <c r="C433" s="29" t="str">
        <f>IF(COUNTIFS(Budget_items[Subheaders],'Data entry'!A433)&lt;10,".0"&amp;COUNTIFS(Budget_items[Subheaders],'Data entry'!A433),"."&amp;COUNTIFS(Budget_items[Subheaders],'Data entry'!A433))</f>
        <v>.00</v>
      </c>
    </row>
    <row r="434" spans="1:3" x14ac:dyDescent="0.3">
      <c r="A434" s="7">
        <f t="shared" si="18"/>
        <v>0</v>
      </c>
      <c r="B434" s="8" t="str">
        <f t="shared" si="17"/>
        <v>0.00</v>
      </c>
      <c r="C434" s="29" t="str">
        <f>IF(COUNTIFS(Budget_items[Subheaders],'Data entry'!A434)&lt;10,".0"&amp;COUNTIFS(Budget_items[Subheaders],'Data entry'!A434),"."&amp;COUNTIFS(Budget_items[Subheaders],'Data entry'!A434))</f>
        <v>.00</v>
      </c>
    </row>
    <row r="435" spans="1:3" x14ac:dyDescent="0.3">
      <c r="A435" s="7">
        <f t="shared" si="18"/>
        <v>0</v>
      </c>
      <c r="B435" s="8" t="str">
        <f t="shared" si="17"/>
        <v>0.00</v>
      </c>
      <c r="C435" s="29" t="str">
        <f>IF(COUNTIFS(Budget_items[Subheaders],'Data entry'!A435)&lt;10,".0"&amp;COUNTIFS(Budget_items[Subheaders],'Data entry'!A435),"."&amp;COUNTIFS(Budget_items[Subheaders],'Data entry'!A435))</f>
        <v>.00</v>
      </c>
    </row>
    <row r="436" spans="1:3" x14ac:dyDescent="0.3">
      <c r="A436" s="7">
        <f t="shared" si="18"/>
        <v>0</v>
      </c>
      <c r="B436" s="8" t="str">
        <f t="shared" si="17"/>
        <v>0.00</v>
      </c>
      <c r="C436" s="29" t="str">
        <f>IF(COUNTIFS(Budget_items[Subheaders],'Data entry'!A436)&lt;10,".0"&amp;COUNTIFS(Budget_items[Subheaders],'Data entry'!A436),"."&amp;COUNTIFS(Budget_items[Subheaders],'Data entry'!A436))</f>
        <v>.00</v>
      </c>
    </row>
    <row r="437" spans="1:3" x14ac:dyDescent="0.3">
      <c r="A437" s="7">
        <f t="shared" si="18"/>
        <v>0</v>
      </c>
      <c r="B437" s="8" t="str">
        <f t="shared" si="17"/>
        <v>0.00</v>
      </c>
      <c r="C437" s="29" t="str">
        <f>IF(COUNTIFS(Budget_items[Subheaders],'Data entry'!A437)&lt;10,".0"&amp;COUNTIFS(Budget_items[Subheaders],'Data entry'!A437),"."&amp;COUNTIFS(Budget_items[Subheaders],'Data entry'!A437))</f>
        <v>.00</v>
      </c>
    </row>
    <row r="438" spans="1:3" x14ac:dyDescent="0.3">
      <c r="A438" s="7">
        <f t="shared" si="18"/>
        <v>0</v>
      </c>
      <c r="B438" s="8" t="str">
        <f t="shared" si="17"/>
        <v>0.00</v>
      </c>
      <c r="C438" s="29" t="str">
        <f>IF(COUNTIFS(Budget_items[Subheaders],'Data entry'!A438)&lt;10,".0"&amp;COUNTIFS(Budget_items[Subheaders],'Data entry'!A438),"."&amp;COUNTIFS(Budget_items[Subheaders],'Data entry'!A438))</f>
        <v>.00</v>
      </c>
    </row>
    <row r="439" spans="1:3" x14ac:dyDescent="0.3">
      <c r="A439" s="7">
        <f t="shared" si="18"/>
        <v>0</v>
      </c>
      <c r="B439" s="8" t="str">
        <f t="shared" si="17"/>
        <v>0.00</v>
      </c>
      <c r="C439" s="29" t="str">
        <f>IF(COUNTIFS(Budget_items[Subheaders],'Data entry'!A439)&lt;10,".0"&amp;COUNTIFS(Budget_items[Subheaders],'Data entry'!A439),"."&amp;COUNTIFS(Budget_items[Subheaders],'Data entry'!A439))</f>
        <v>.00</v>
      </c>
    </row>
    <row r="440" spans="1:3" x14ac:dyDescent="0.3">
      <c r="A440" s="7">
        <f t="shared" si="18"/>
        <v>0</v>
      </c>
      <c r="B440" s="8" t="str">
        <f t="shared" si="17"/>
        <v>0.00</v>
      </c>
      <c r="C440" s="29" t="str">
        <f>IF(COUNTIFS(Budget_items[Subheaders],'Data entry'!A440)&lt;10,".0"&amp;COUNTIFS(Budget_items[Subheaders],'Data entry'!A440),"."&amp;COUNTIFS(Budget_items[Subheaders],'Data entry'!A440))</f>
        <v>.00</v>
      </c>
    </row>
    <row r="441" spans="1:3" x14ac:dyDescent="0.3">
      <c r="A441" s="7">
        <f t="shared" si="18"/>
        <v>0</v>
      </c>
      <c r="B441" s="8" t="str">
        <f t="shared" si="17"/>
        <v>0.00</v>
      </c>
      <c r="C441" s="29" t="str">
        <f>IF(COUNTIFS(Budget_items[Subheaders],'Data entry'!A441)&lt;10,".0"&amp;COUNTIFS(Budget_items[Subheaders],'Data entry'!A441),"."&amp;COUNTIFS(Budget_items[Subheaders],'Data entry'!A441))</f>
        <v>.00</v>
      </c>
    </row>
    <row r="442" spans="1:3" x14ac:dyDescent="0.3">
      <c r="A442" s="7">
        <f t="shared" si="18"/>
        <v>0</v>
      </c>
      <c r="B442" s="8" t="str">
        <f t="shared" si="17"/>
        <v>0.00</v>
      </c>
      <c r="C442" s="29" t="str">
        <f>IF(COUNTIFS(Budget_items[Subheaders],'Data entry'!A442)&lt;10,".0"&amp;COUNTIFS(Budget_items[Subheaders],'Data entry'!A442),"."&amp;COUNTIFS(Budget_items[Subheaders],'Data entry'!A442))</f>
        <v>.00</v>
      </c>
    </row>
    <row r="443" spans="1:3" x14ac:dyDescent="0.3">
      <c r="A443" s="7">
        <f t="shared" si="18"/>
        <v>0</v>
      </c>
      <c r="B443" s="8" t="str">
        <f t="shared" si="17"/>
        <v>0.00</v>
      </c>
      <c r="C443" s="29" t="str">
        <f>IF(COUNTIFS(Budget_items[Subheaders],'Data entry'!A443)&lt;10,".0"&amp;COUNTIFS(Budget_items[Subheaders],'Data entry'!A443),"."&amp;COUNTIFS(Budget_items[Subheaders],'Data entry'!A443))</f>
        <v>.00</v>
      </c>
    </row>
    <row r="444" spans="1:3" x14ac:dyDescent="0.3">
      <c r="A444" s="7">
        <f t="shared" si="18"/>
        <v>0</v>
      </c>
      <c r="B444" s="8" t="str">
        <f t="shared" si="17"/>
        <v>0.00</v>
      </c>
      <c r="C444" s="29" t="str">
        <f>IF(COUNTIFS(Budget_items[Subheaders],'Data entry'!A444)&lt;10,".0"&amp;COUNTIFS(Budget_items[Subheaders],'Data entry'!A444),"."&amp;COUNTIFS(Budget_items[Subheaders],'Data entry'!A444))</f>
        <v>.00</v>
      </c>
    </row>
    <row r="445" spans="1:3" x14ac:dyDescent="0.3">
      <c r="A445" s="7">
        <f t="shared" si="18"/>
        <v>0</v>
      </c>
      <c r="B445" s="8" t="str">
        <f t="shared" si="17"/>
        <v>0.00</v>
      </c>
      <c r="C445" s="29" t="str">
        <f>IF(COUNTIFS(Budget_items[Subheaders],'Data entry'!A445)&lt;10,".0"&amp;COUNTIFS(Budget_items[Subheaders],'Data entry'!A445),"."&amp;COUNTIFS(Budget_items[Subheaders],'Data entry'!A445))</f>
        <v>.00</v>
      </c>
    </row>
    <row r="446" spans="1:3" x14ac:dyDescent="0.3">
      <c r="A446" s="7">
        <f t="shared" si="18"/>
        <v>0</v>
      </c>
      <c r="B446" s="8" t="str">
        <f t="shared" si="17"/>
        <v>0.00</v>
      </c>
      <c r="C446" s="29" t="str">
        <f>IF(COUNTIFS(Budget_items[Subheaders],'Data entry'!A446)&lt;10,".0"&amp;COUNTIFS(Budget_items[Subheaders],'Data entry'!A446),"."&amp;COUNTIFS(Budget_items[Subheaders],'Data entry'!A446))</f>
        <v>.00</v>
      </c>
    </row>
    <row r="447" spans="1:3" x14ac:dyDescent="0.3">
      <c r="A447" s="7">
        <f t="shared" si="18"/>
        <v>0</v>
      </c>
      <c r="B447" s="8" t="str">
        <f t="shared" si="17"/>
        <v>0.00</v>
      </c>
      <c r="C447" s="29" t="str">
        <f>IF(COUNTIFS(Budget_items[Subheaders],'Data entry'!A447)&lt;10,".0"&amp;COUNTIFS(Budget_items[Subheaders],'Data entry'!A447),"."&amp;COUNTIFS(Budget_items[Subheaders],'Data entry'!A447))</f>
        <v>.00</v>
      </c>
    </row>
    <row r="448" spans="1:3" x14ac:dyDescent="0.3">
      <c r="A448" s="7">
        <f t="shared" si="18"/>
        <v>0</v>
      </c>
      <c r="B448" s="8" t="str">
        <f t="shared" si="17"/>
        <v>0.00</v>
      </c>
      <c r="C448" s="29" t="str">
        <f>IF(COUNTIFS(Budget_items[Subheaders],'Data entry'!A448)&lt;10,".0"&amp;COUNTIFS(Budget_items[Subheaders],'Data entry'!A448),"."&amp;COUNTIFS(Budget_items[Subheaders],'Data entry'!A448))</f>
        <v>.00</v>
      </c>
    </row>
    <row r="449" spans="1:3" x14ac:dyDescent="0.3">
      <c r="A449" s="7">
        <f t="shared" si="18"/>
        <v>0</v>
      </c>
      <c r="B449" s="8" t="str">
        <f t="shared" si="17"/>
        <v>0.00</v>
      </c>
      <c r="C449" s="29" t="str">
        <f>IF(COUNTIFS(Budget_items[Subheaders],'Data entry'!A449)&lt;10,".0"&amp;COUNTIFS(Budget_items[Subheaders],'Data entry'!A449),"."&amp;COUNTIFS(Budget_items[Subheaders],'Data entry'!A449))</f>
        <v>.00</v>
      </c>
    </row>
    <row r="450" spans="1:3" x14ac:dyDescent="0.3">
      <c r="A450" s="7">
        <f t="shared" si="18"/>
        <v>0</v>
      </c>
      <c r="B450" s="8" t="str">
        <f t="shared" si="17"/>
        <v>0.00</v>
      </c>
      <c r="C450" s="29" t="str">
        <f>IF(COUNTIFS(Budget_items[Subheaders],'Data entry'!A450)&lt;10,".0"&amp;COUNTIFS(Budget_items[Subheaders],'Data entry'!A450),"."&amp;COUNTIFS(Budget_items[Subheaders],'Data entry'!A450))</f>
        <v>.00</v>
      </c>
    </row>
    <row r="451" spans="1:3" x14ac:dyDescent="0.3">
      <c r="A451" s="7">
        <f t="shared" si="18"/>
        <v>0</v>
      </c>
      <c r="B451" s="8" t="str">
        <f t="shared" ref="B451:B514" si="19">LEFT(A451,4)&amp;C451</f>
        <v>0.00</v>
      </c>
      <c r="C451" s="29" t="str">
        <f>IF(COUNTIFS(Budget_items[Subheaders],'Data entry'!A451)&lt;10,".0"&amp;COUNTIFS(Budget_items[Subheaders],'Data entry'!A451),"."&amp;COUNTIFS(Budget_items[Subheaders],'Data entry'!A451))</f>
        <v>.00</v>
      </c>
    </row>
    <row r="452" spans="1:3" x14ac:dyDescent="0.3">
      <c r="A452" s="7">
        <f t="shared" si="18"/>
        <v>0</v>
      </c>
      <c r="B452" s="8" t="str">
        <f t="shared" si="19"/>
        <v>0.00</v>
      </c>
      <c r="C452" s="29" t="str">
        <f>IF(COUNTIFS(Budget_items[Subheaders],'Data entry'!A452)&lt;10,".0"&amp;COUNTIFS(Budget_items[Subheaders],'Data entry'!A452),"."&amp;COUNTIFS(Budget_items[Subheaders],'Data entry'!A452))</f>
        <v>.00</v>
      </c>
    </row>
    <row r="453" spans="1:3" x14ac:dyDescent="0.3">
      <c r="A453" s="7">
        <f t="shared" si="18"/>
        <v>0</v>
      </c>
      <c r="B453" s="8" t="str">
        <f t="shared" si="19"/>
        <v>0.00</v>
      </c>
      <c r="C453" s="29" t="str">
        <f>IF(COUNTIFS(Budget_items[Subheaders],'Data entry'!A453)&lt;10,".0"&amp;COUNTIFS(Budget_items[Subheaders],'Data entry'!A453),"."&amp;COUNTIFS(Budget_items[Subheaders],'Data entry'!A453))</f>
        <v>.00</v>
      </c>
    </row>
    <row r="454" spans="1:3" x14ac:dyDescent="0.3">
      <c r="A454" s="7">
        <f t="shared" si="18"/>
        <v>0</v>
      </c>
      <c r="B454" s="8" t="str">
        <f t="shared" si="19"/>
        <v>0.00</v>
      </c>
      <c r="C454" s="29" t="str">
        <f>IF(COUNTIFS(Budget_items[Subheaders],'Data entry'!A454)&lt;10,".0"&amp;COUNTIFS(Budget_items[Subheaders],'Data entry'!A454),"."&amp;COUNTIFS(Budget_items[Subheaders],'Data entry'!A454))</f>
        <v>.00</v>
      </c>
    </row>
    <row r="455" spans="1:3" x14ac:dyDescent="0.3">
      <c r="A455" s="7">
        <f t="shared" si="18"/>
        <v>0</v>
      </c>
      <c r="B455" s="8" t="str">
        <f t="shared" si="19"/>
        <v>0.00</v>
      </c>
      <c r="C455" s="29" t="str">
        <f>IF(COUNTIFS(Budget_items[Subheaders],'Data entry'!A455)&lt;10,".0"&amp;COUNTIFS(Budget_items[Subheaders],'Data entry'!A455),"."&amp;COUNTIFS(Budget_items[Subheaders],'Data entry'!A455))</f>
        <v>.00</v>
      </c>
    </row>
    <row r="456" spans="1:3" x14ac:dyDescent="0.3">
      <c r="A456" s="7">
        <f t="shared" si="18"/>
        <v>0</v>
      </c>
      <c r="B456" s="8" t="str">
        <f t="shared" si="19"/>
        <v>0.00</v>
      </c>
      <c r="C456" s="29" t="str">
        <f>IF(COUNTIFS(Budget_items[Subheaders],'Data entry'!A456)&lt;10,".0"&amp;COUNTIFS(Budget_items[Subheaders],'Data entry'!A456),"."&amp;COUNTIFS(Budget_items[Subheaders],'Data entry'!A456))</f>
        <v>.00</v>
      </c>
    </row>
    <row r="457" spans="1:3" x14ac:dyDescent="0.3">
      <c r="A457" s="7">
        <f t="shared" si="18"/>
        <v>0</v>
      </c>
      <c r="B457" s="8" t="str">
        <f t="shared" si="19"/>
        <v>0.00</v>
      </c>
      <c r="C457" s="29" t="str">
        <f>IF(COUNTIFS(Budget_items[Subheaders],'Data entry'!A457)&lt;10,".0"&amp;COUNTIFS(Budget_items[Subheaders],'Data entry'!A457),"."&amp;COUNTIFS(Budget_items[Subheaders],'Data entry'!A457))</f>
        <v>.00</v>
      </c>
    </row>
    <row r="458" spans="1:3" x14ac:dyDescent="0.3">
      <c r="A458" s="7">
        <f t="shared" si="18"/>
        <v>0</v>
      </c>
      <c r="B458" s="8" t="str">
        <f t="shared" si="19"/>
        <v>0.00</v>
      </c>
      <c r="C458" s="29" t="str">
        <f>IF(COUNTIFS(Budget_items[Subheaders],'Data entry'!A458)&lt;10,".0"&amp;COUNTIFS(Budget_items[Subheaders],'Data entry'!A458),"."&amp;COUNTIFS(Budget_items[Subheaders],'Data entry'!A458))</f>
        <v>.00</v>
      </c>
    </row>
    <row r="459" spans="1:3" x14ac:dyDescent="0.3">
      <c r="A459" s="7">
        <f t="shared" si="18"/>
        <v>0</v>
      </c>
      <c r="B459" s="8" t="str">
        <f t="shared" si="19"/>
        <v>0.00</v>
      </c>
      <c r="C459" s="29" t="str">
        <f>IF(COUNTIFS(Budget_items[Subheaders],'Data entry'!A459)&lt;10,".0"&amp;COUNTIFS(Budget_items[Subheaders],'Data entry'!A459),"."&amp;COUNTIFS(Budget_items[Subheaders],'Data entry'!A459))</f>
        <v>.00</v>
      </c>
    </row>
    <row r="460" spans="1:3" x14ac:dyDescent="0.3">
      <c r="A460" s="7">
        <f t="shared" si="18"/>
        <v>0</v>
      </c>
      <c r="B460" s="8" t="str">
        <f t="shared" si="19"/>
        <v>0.00</v>
      </c>
      <c r="C460" s="29" t="str">
        <f>IF(COUNTIFS(Budget_items[Subheaders],'Data entry'!A460)&lt;10,".0"&amp;COUNTIFS(Budget_items[Subheaders],'Data entry'!A460),"."&amp;COUNTIFS(Budget_items[Subheaders],'Data entry'!A460))</f>
        <v>.00</v>
      </c>
    </row>
    <row r="461" spans="1:3" x14ac:dyDescent="0.3">
      <c r="A461" s="7">
        <f t="shared" si="18"/>
        <v>0</v>
      </c>
      <c r="B461" s="8" t="str">
        <f t="shared" si="19"/>
        <v>0.00</v>
      </c>
      <c r="C461" s="29" t="str">
        <f>IF(COUNTIFS(Budget_items[Subheaders],'Data entry'!A461)&lt;10,".0"&amp;COUNTIFS(Budget_items[Subheaders],'Data entry'!A461),"."&amp;COUNTIFS(Budget_items[Subheaders],'Data entry'!A461))</f>
        <v>.00</v>
      </c>
    </row>
    <row r="462" spans="1:3" x14ac:dyDescent="0.3">
      <c r="A462" s="7">
        <f t="shared" si="18"/>
        <v>0</v>
      </c>
      <c r="B462" s="8" t="str">
        <f t="shared" si="19"/>
        <v>0.00</v>
      </c>
      <c r="C462" s="29" t="str">
        <f>IF(COUNTIFS(Budget_items[Subheaders],'Data entry'!A462)&lt;10,".0"&amp;COUNTIFS(Budget_items[Subheaders],'Data entry'!A462),"."&amp;COUNTIFS(Budget_items[Subheaders],'Data entry'!A462))</f>
        <v>.00</v>
      </c>
    </row>
    <row r="463" spans="1:3" x14ac:dyDescent="0.3">
      <c r="A463" s="7">
        <f t="shared" si="18"/>
        <v>0</v>
      </c>
      <c r="B463" s="8" t="str">
        <f t="shared" si="19"/>
        <v>0.00</v>
      </c>
      <c r="C463" s="29" t="str">
        <f>IF(COUNTIFS(Budget_items[Subheaders],'Data entry'!A463)&lt;10,".0"&amp;COUNTIFS(Budget_items[Subheaders],'Data entry'!A463),"."&amp;COUNTIFS(Budget_items[Subheaders],'Data entry'!A463))</f>
        <v>.00</v>
      </c>
    </row>
    <row r="464" spans="1:3" x14ac:dyDescent="0.3">
      <c r="A464" s="7">
        <f t="shared" si="18"/>
        <v>0</v>
      </c>
      <c r="B464" s="8" t="str">
        <f t="shared" si="19"/>
        <v>0.00</v>
      </c>
      <c r="C464" s="29" t="str">
        <f>IF(COUNTIFS(Budget_items[Subheaders],'Data entry'!A464)&lt;10,".0"&amp;COUNTIFS(Budget_items[Subheaders],'Data entry'!A464),"."&amp;COUNTIFS(Budget_items[Subheaders],'Data entry'!A464))</f>
        <v>.00</v>
      </c>
    </row>
    <row r="465" spans="1:3" x14ac:dyDescent="0.3">
      <c r="A465" s="7">
        <f t="shared" si="18"/>
        <v>0</v>
      </c>
      <c r="B465" s="8" t="str">
        <f t="shared" si="19"/>
        <v>0.00</v>
      </c>
      <c r="C465" s="29" t="str">
        <f>IF(COUNTIFS(Budget_items[Subheaders],'Data entry'!A465)&lt;10,".0"&amp;COUNTIFS(Budget_items[Subheaders],'Data entry'!A465),"."&amp;COUNTIFS(Budget_items[Subheaders],'Data entry'!A465))</f>
        <v>.00</v>
      </c>
    </row>
    <row r="466" spans="1:3" x14ac:dyDescent="0.3">
      <c r="A466" s="7">
        <f t="shared" si="18"/>
        <v>0</v>
      </c>
      <c r="B466" s="8" t="str">
        <f t="shared" si="19"/>
        <v>0.00</v>
      </c>
      <c r="C466" s="29" t="str">
        <f>IF(COUNTIFS(Budget_items[Subheaders],'Data entry'!A466)&lt;10,".0"&amp;COUNTIFS(Budget_items[Subheaders],'Data entry'!A466),"."&amp;COUNTIFS(Budget_items[Subheaders],'Data entry'!A466))</f>
        <v>.00</v>
      </c>
    </row>
    <row r="467" spans="1:3" x14ac:dyDescent="0.3">
      <c r="A467" s="7">
        <f t="shared" si="18"/>
        <v>0</v>
      </c>
      <c r="B467" s="8" t="str">
        <f t="shared" si="19"/>
        <v>0.00</v>
      </c>
      <c r="C467" s="29" t="str">
        <f>IF(COUNTIFS(Budget_items[Subheaders],'Data entry'!A467)&lt;10,".0"&amp;COUNTIFS(Budget_items[Subheaders],'Data entry'!A467),"."&amp;COUNTIFS(Budget_items[Subheaders],'Data entry'!A467))</f>
        <v>.00</v>
      </c>
    </row>
    <row r="468" spans="1:3" x14ac:dyDescent="0.3">
      <c r="A468" s="7">
        <f t="shared" si="18"/>
        <v>0</v>
      </c>
      <c r="B468" s="8" t="str">
        <f t="shared" si="19"/>
        <v>0.00</v>
      </c>
      <c r="C468" s="29" t="str">
        <f>IF(COUNTIFS(Budget_items[Subheaders],'Data entry'!A468)&lt;10,".0"&amp;COUNTIFS(Budget_items[Subheaders],'Data entry'!A468),"."&amp;COUNTIFS(Budget_items[Subheaders],'Data entry'!A468))</f>
        <v>.00</v>
      </c>
    </row>
    <row r="469" spans="1:3" x14ac:dyDescent="0.3">
      <c r="A469" s="7">
        <f t="shared" si="18"/>
        <v>0</v>
      </c>
      <c r="B469" s="8" t="str">
        <f t="shared" si="19"/>
        <v>0.00</v>
      </c>
      <c r="C469" s="29" t="str">
        <f>IF(COUNTIFS(Budget_items[Subheaders],'Data entry'!A469)&lt;10,".0"&amp;COUNTIFS(Budget_items[Subheaders],'Data entry'!A469),"."&amp;COUNTIFS(Budget_items[Subheaders],'Data entry'!A469))</f>
        <v>.00</v>
      </c>
    </row>
    <row r="470" spans="1:3" x14ac:dyDescent="0.3">
      <c r="A470" s="7">
        <f t="shared" si="18"/>
        <v>0</v>
      </c>
      <c r="B470" s="8" t="str">
        <f t="shared" si="19"/>
        <v>0.00</v>
      </c>
      <c r="C470" s="29" t="str">
        <f>IF(COUNTIFS(Budget_items[Subheaders],'Data entry'!A470)&lt;10,".0"&amp;COUNTIFS(Budget_items[Subheaders],'Data entry'!A470),"."&amp;COUNTIFS(Budget_items[Subheaders],'Data entry'!A470))</f>
        <v>.00</v>
      </c>
    </row>
    <row r="471" spans="1:3" x14ac:dyDescent="0.3">
      <c r="A471" s="7">
        <f t="shared" si="18"/>
        <v>0</v>
      </c>
      <c r="B471" s="8" t="str">
        <f t="shared" si="19"/>
        <v>0.00</v>
      </c>
      <c r="C471" s="29" t="str">
        <f>IF(COUNTIFS(Budget_items[Subheaders],'Data entry'!A471)&lt;10,".0"&amp;COUNTIFS(Budget_items[Subheaders],'Data entry'!A471),"."&amp;COUNTIFS(Budget_items[Subheaders],'Data entry'!A471))</f>
        <v>.00</v>
      </c>
    </row>
    <row r="472" spans="1:3" x14ac:dyDescent="0.3">
      <c r="A472" s="7">
        <f t="shared" si="18"/>
        <v>0</v>
      </c>
      <c r="B472" s="8" t="str">
        <f t="shared" si="19"/>
        <v>0.00</v>
      </c>
      <c r="C472" s="29" t="str">
        <f>IF(COUNTIFS(Budget_items[Subheaders],'Data entry'!A472)&lt;10,".0"&amp;COUNTIFS(Budget_items[Subheaders],'Data entry'!A472),"."&amp;COUNTIFS(Budget_items[Subheaders],'Data entry'!A472))</f>
        <v>.00</v>
      </c>
    </row>
    <row r="473" spans="1:3" x14ac:dyDescent="0.3">
      <c r="A473" s="7">
        <f t="shared" si="18"/>
        <v>0</v>
      </c>
      <c r="B473" s="8" t="str">
        <f t="shared" si="19"/>
        <v>0.00</v>
      </c>
      <c r="C473" s="29" t="str">
        <f>IF(COUNTIFS(Budget_items[Subheaders],'Data entry'!A473)&lt;10,".0"&amp;COUNTIFS(Budget_items[Subheaders],'Data entry'!A473),"."&amp;COUNTIFS(Budget_items[Subheaders],'Data entry'!A473))</f>
        <v>.00</v>
      </c>
    </row>
    <row r="474" spans="1:3" x14ac:dyDescent="0.3">
      <c r="A474" s="7">
        <f t="shared" ref="A474:A537" si="20">P476</f>
        <v>0</v>
      </c>
      <c r="B474" s="8" t="str">
        <f t="shared" si="19"/>
        <v>0.00</v>
      </c>
      <c r="C474" s="29" t="str">
        <f>IF(COUNTIFS(Budget_items[Subheaders],'Data entry'!A474)&lt;10,".0"&amp;COUNTIFS(Budget_items[Subheaders],'Data entry'!A474),"."&amp;COUNTIFS(Budget_items[Subheaders],'Data entry'!A474))</f>
        <v>.00</v>
      </c>
    </row>
    <row r="475" spans="1:3" x14ac:dyDescent="0.3">
      <c r="A475" s="7">
        <f t="shared" si="20"/>
        <v>0</v>
      </c>
      <c r="B475" s="8" t="str">
        <f t="shared" si="19"/>
        <v>0.00</v>
      </c>
      <c r="C475" s="29" t="str">
        <f>IF(COUNTIFS(Budget_items[Subheaders],'Data entry'!A475)&lt;10,".0"&amp;COUNTIFS(Budget_items[Subheaders],'Data entry'!A475),"."&amp;COUNTIFS(Budget_items[Subheaders],'Data entry'!A475))</f>
        <v>.00</v>
      </c>
    </row>
    <row r="476" spans="1:3" x14ac:dyDescent="0.3">
      <c r="A476" s="7">
        <f t="shared" si="20"/>
        <v>0</v>
      </c>
      <c r="B476" s="8" t="str">
        <f t="shared" si="19"/>
        <v>0.00</v>
      </c>
      <c r="C476" s="29" t="str">
        <f>IF(COUNTIFS(Budget_items[Subheaders],'Data entry'!A476)&lt;10,".0"&amp;COUNTIFS(Budget_items[Subheaders],'Data entry'!A476),"."&amp;COUNTIFS(Budget_items[Subheaders],'Data entry'!A476))</f>
        <v>.00</v>
      </c>
    </row>
    <row r="477" spans="1:3" x14ac:dyDescent="0.3">
      <c r="A477" s="7">
        <f t="shared" si="20"/>
        <v>0</v>
      </c>
      <c r="B477" s="8" t="str">
        <f t="shared" si="19"/>
        <v>0.00</v>
      </c>
      <c r="C477" s="29" t="str">
        <f>IF(COUNTIFS(Budget_items[Subheaders],'Data entry'!A477)&lt;10,".0"&amp;COUNTIFS(Budget_items[Subheaders],'Data entry'!A477),"."&amp;COUNTIFS(Budget_items[Subheaders],'Data entry'!A477))</f>
        <v>.00</v>
      </c>
    </row>
    <row r="478" spans="1:3" x14ac:dyDescent="0.3">
      <c r="A478" s="7">
        <f t="shared" si="20"/>
        <v>0</v>
      </c>
      <c r="B478" s="8" t="str">
        <f t="shared" si="19"/>
        <v>0.00</v>
      </c>
      <c r="C478" s="29" t="str">
        <f>IF(COUNTIFS(Budget_items[Subheaders],'Data entry'!A478)&lt;10,".0"&amp;COUNTIFS(Budget_items[Subheaders],'Data entry'!A478),"."&amp;COUNTIFS(Budget_items[Subheaders],'Data entry'!A478))</f>
        <v>.00</v>
      </c>
    </row>
    <row r="479" spans="1:3" x14ac:dyDescent="0.3">
      <c r="A479" s="7">
        <f t="shared" si="20"/>
        <v>0</v>
      </c>
      <c r="B479" s="8" t="str">
        <f t="shared" si="19"/>
        <v>0.00</v>
      </c>
      <c r="C479" s="29" t="str">
        <f>IF(COUNTIFS(Budget_items[Subheaders],'Data entry'!A479)&lt;10,".0"&amp;COUNTIFS(Budget_items[Subheaders],'Data entry'!A479),"."&amp;COUNTIFS(Budget_items[Subheaders],'Data entry'!A479))</f>
        <v>.00</v>
      </c>
    </row>
    <row r="480" spans="1:3" x14ac:dyDescent="0.3">
      <c r="A480" s="7">
        <f t="shared" si="20"/>
        <v>0</v>
      </c>
      <c r="B480" s="8" t="str">
        <f t="shared" si="19"/>
        <v>0.00</v>
      </c>
      <c r="C480" s="29" t="str">
        <f>IF(COUNTIFS(Budget_items[Subheaders],'Data entry'!A480)&lt;10,".0"&amp;COUNTIFS(Budget_items[Subheaders],'Data entry'!A480),"."&amp;COUNTIFS(Budget_items[Subheaders],'Data entry'!A480))</f>
        <v>.00</v>
      </c>
    </row>
    <row r="481" spans="1:3" x14ac:dyDescent="0.3">
      <c r="A481" s="7">
        <f t="shared" si="20"/>
        <v>0</v>
      </c>
      <c r="B481" s="8" t="str">
        <f t="shared" si="19"/>
        <v>0.00</v>
      </c>
      <c r="C481" s="29" t="str">
        <f>IF(COUNTIFS(Budget_items[Subheaders],'Data entry'!A481)&lt;10,".0"&amp;COUNTIFS(Budget_items[Subheaders],'Data entry'!A481),"."&amp;COUNTIFS(Budget_items[Subheaders],'Data entry'!A481))</f>
        <v>.00</v>
      </c>
    </row>
    <row r="482" spans="1:3" x14ac:dyDescent="0.3">
      <c r="A482" s="7">
        <f t="shared" si="20"/>
        <v>0</v>
      </c>
      <c r="B482" s="8" t="str">
        <f t="shared" si="19"/>
        <v>0.00</v>
      </c>
      <c r="C482" s="29" t="str">
        <f>IF(COUNTIFS(Budget_items[Subheaders],'Data entry'!A482)&lt;10,".0"&amp;COUNTIFS(Budget_items[Subheaders],'Data entry'!A482),"."&amp;COUNTIFS(Budget_items[Subheaders],'Data entry'!A482))</f>
        <v>.00</v>
      </c>
    </row>
    <row r="483" spans="1:3" x14ac:dyDescent="0.3">
      <c r="A483" s="7">
        <f t="shared" si="20"/>
        <v>0</v>
      </c>
      <c r="B483" s="8" t="str">
        <f t="shared" si="19"/>
        <v>0.00</v>
      </c>
      <c r="C483" s="29" t="str">
        <f>IF(COUNTIFS(Budget_items[Subheaders],'Data entry'!A483)&lt;10,".0"&amp;COUNTIFS(Budget_items[Subheaders],'Data entry'!A483),"."&amp;COUNTIFS(Budget_items[Subheaders],'Data entry'!A483))</f>
        <v>.00</v>
      </c>
    </row>
    <row r="484" spans="1:3" x14ac:dyDescent="0.3">
      <c r="A484" s="7">
        <f t="shared" si="20"/>
        <v>0</v>
      </c>
      <c r="B484" s="8" t="str">
        <f t="shared" si="19"/>
        <v>0.00</v>
      </c>
      <c r="C484" s="29" t="str">
        <f>IF(COUNTIFS(Budget_items[Subheaders],'Data entry'!A484)&lt;10,".0"&amp;COUNTIFS(Budget_items[Subheaders],'Data entry'!A484),"."&amp;COUNTIFS(Budget_items[Subheaders],'Data entry'!A484))</f>
        <v>.00</v>
      </c>
    </row>
    <row r="485" spans="1:3" x14ac:dyDescent="0.3">
      <c r="A485" s="7">
        <f t="shared" si="20"/>
        <v>0</v>
      </c>
      <c r="B485" s="8" t="str">
        <f t="shared" si="19"/>
        <v>0.00</v>
      </c>
      <c r="C485" s="29" t="str">
        <f>IF(COUNTIFS(Budget_items[Subheaders],'Data entry'!A485)&lt;10,".0"&amp;COUNTIFS(Budget_items[Subheaders],'Data entry'!A485),"."&amp;COUNTIFS(Budget_items[Subheaders],'Data entry'!A485))</f>
        <v>.00</v>
      </c>
    </row>
    <row r="486" spans="1:3" x14ac:dyDescent="0.3">
      <c r="A486" s="7">
        <f t="shared" si="20"/>
        <v>0</v>
      </c>
      <c r="B486" s="8" t="str">
        <f t="shared" si="19"/>
        <v>0.00</v>
      </c>
      <c r="C486" s="29" t="str">
        <f>IF(COUNTIFS(Budget_items[Subheaders],'Data entry'!A486)&lt;10,".0"&amp;COUNTIFS(Budget_items[Subheaders],'Data entry'!A486),"."&amp;COUNTIFS(Budget_items[Subheaders],'Data entry'!A486))</f>
        <v>.00</v>
      </c>
    </row>
    <row r="487" spans="1:3" x14ac:dyDescent="0.3">
      <c r="A487" s="7">
        <f t="shared" si="20"/>
        <v>0</v>
      </c>
      <c r="B487" s="8" t="str">
        <f t="shared" si="19"/>
        <v>0.00</v>
      </c>
      <c r="C487" s="29" t="str">
        <f>IF(COUNTIFS(Budget_items[Subheaders],'Data entry'!A487)&lt;10,".0"&amp;COUNTIFS(Budget_items[Subheaders],'Data entry'!A487),"."&amp;COUNTIFS(Budget_items[Subheaders],'Data entry'!A487))</f>
        <v>.00</v>
      </c>
    </row>
    <row r="488" spans="1:3" x14ac:dyDescent="0.3">
      <c r="A488" s="7">
        <f t="shared" si="20"/>
        <v>0</v>
      </c>
      <c r="B488" s="8" t="str">
        <f t="shared" si="19"/>
        <v>0.00</v>
      </c>
      <c r="C488" s="29" t="str">
        <f>IF(COUNTIFS(Budget_items[Subheaders],'Data entry'!A488)&lt;10,".0"&amp;COUNTIFS(Budget_items[Subheaders],'Data entry'!A488),"."&amp;COUNTIFS(Budget_items[Subheaders],'Data entry'!A488))</f>
        <v>.00</v>
      </c>
    </row>
    <row r="489" spans="1:3" x14ac:dyDescent="0.3">
      <c r="A489" s="7">
        <f t="shared" si="20"/>
        <v>0</v>
      </c>
      <c r="B489" s="8" t="str">
        <f t="shared" si="19"/>
        <v>0.00</v>
      </c>
      <c r="C489" s="29" t="str">
        <f>IF(COUNTIFS(Budget_items[Subheaders],'Data entry'!A489)&lt;10,".0"&amp;COUNTIFS(Budget_items[Subheaders],'Data entry'!A489),"."&amp;COUNTIFS(Budget_items[Subheaders],'Data entry'!A489))</f>
        <v>.00</v>
      </c>
    </row>
    <row r="490" spans="1:3" x14ac:dyDescent="0.3">
      <c r="A490" s="7">
        <f t="shared" si="20"/>
        <v>0</v>
      </c>
      <c r="B490" s="8" t="str">
        <f t="shared" si="19"/>
        <v>0.00</v>
      </c>
      <c r="C490" s="29" t="str">
        <f>IF(COUNTIFS(Budget_items[Subheaders],'Data entry'!A490)&lt;10,".0"&amp;COUNTIFS(Budget_items[Subheaders],'Data entry'!A490),"."&amp;COUNTIFS(Budget_items[Subheaders],'Data entry'!A490))</f>
        <v>.00</v>
      </c>
    </row>
    <row r="491" spans="1:3" x14ac:dyDescent="0.3">
      <c r="A491" s="7">
        <f t="shared" si="20"/>
        <v>0</v>
      </c>
      <c r="B491" s="8" t="str">
        <f t="shared" si="19"/>
        <v>0.00</v>
      </c>
      <c r="C491" s="29" t="str">
        <f>IF(COUNTIFS(Budget_items[Subheaders],'Data entry'!A491)&lt;10,".0"&amp;COUNTIFS(Budget_items[Subheaders],'Data entry'!A491),"."&amp;COUNTIFS(Budget_items[Subheaders],'Data entry'!A491))</f>
        <v>.00</v>
      </c>
    </row>
    <row r="492" spans="1:3" x14ac:dyDescent="0.3">
      <c r="A492" s="7">
        <f t="shared" si="20"/>
        <v>0</v>
      </c>
      <c r="B492" s="8" t="str">
        <f t="shared" si="19"/>
        <v>0.00</v>
      </c>
      <c r="C492" s="29" t="str">
        <f>IF(COUNTIFS(Budget_items[Subheaders],'Data entry'!A492)&lt;10,".0"&amp;COUNTIFS(Budget_items[Subheaders],'Data entry'!A492),"."&amp;COUNTIFS(Budget_items[Subheaders],'Data entry'!A492))</f>
        <v>.00</v>
      </c>
    </row>
    <row r="493" spans="1:3" x14ac:dyDescent="0.3">
      <c r="A493" s="7">
        <f t="shared" si="20"/>
        <v>0</v>
      </c>
      <c r="B493" s="8" t="str">
        <f t="shared" si="19"/>
        <v>0.00</v>
      </c>
      <c r="C493" s="29" t="str">
        <f>IF(COUNTIFS(Budget_items[Subheaders],'Data entry'!A493)&lt;10,".0"&amp;COUNTIFS(Budget_items[Subheaders],'Data entry'!A493),"."&amp;COUNTIFS(Budget_items[Subheaders],'Data entry'!A493))</f>
        <v>.00</v>
      </c>
    </row>
    <row r="494" spans="1:3" x14ac:dyDescent="0.3">
      <c r="A494" s="7">
        <f t="shared" si="20"/>
        <v>0</v>
      </c>
      <c r="B494" s="8" t="str">
        <f t="shared" si="19"/>
        <v>0.00</v>
      </c>
      <c r="C494" s="29" t="str">
        <f>IF(COUNTIFS(Budget_items[Subheaders],'Data entry'!A494)&lt;10,".0"&amp;COUNTIFS(Budget_items[Subheaders],'Data entry'!A494),"."&amp;COUNTIFS(Budget_items[Subheaders],'Data entry'!A494))</f>
        <v>.00</v>
      </c>
    </row>
    <row r="495" spans="1:3" x14ac:dyDescent="0.3">
      <c r="A495" s="7">
        <f t="shared" si="20"/>
        <v>0</v>
      </c>
      <c r="B495" s="8" t="str">
        <f t="shared" si="19"/>
        <v>0.00</v>
      </c>
      <c r="C495" s="29" t="str">
        <f>IF(COUNTIFS(Budget_items[Subheaders],'Data entry'!A495)&lt;10,".0"&amp;COUNTIFS(Budget_items[Subheaders],'Data entry'!A495),"."&amp;COUNTIFS(Budget_items[Subheaders],'Data entry'!A495))</f>
        <v>.00</v>
      </c>
    </row>
    <row r="496" spans="1:3" x14ac:dyDescent="0.3">
      <c r="A496" s="7">
        <f t="shared" si="20"/>
        <v>0</v>
      </c>
      <c r="B496" s="8" t="str">
        <f t="shared" si="19"/>
        <v>0.00</v>
      </c>
      <c r="C496" s="29" t="str">
        <f>IF(COUNTIFS(Budget_items[Subheaders],'Data entry'!A496)&lt;10,".0"&amp;COUNTIFS(Budget_items[Subheaders],'Data entry'!A496),"."&amp;COUNTIFS(Budget_items[Subheaders],'Data entry'!A496))</f>
        <v>.00</v>
      </c>
    </row>
    <row r="497" spans="1:3" x14ac:dyDescent="0.3">
      <c r="A497" s="7">
        <f t="shared" si="20"/>
        <v>0</v>
      </c>
      <c r="B497" s="8" t="str">
        <f t="shared" si="19"/>
        <v>0.00</v>
      </c>
      <c r="C497" s="29" t="str">
        <f>IF(COUNTIFS(Budget_items[Subheaders],'Data entry'!A497)&lt;10,".0"&amp;COUNTIFS(Budget_items[Subheaders],'Data entry'!A497),"."&amp;COUNTIFS(Budget_items[Subheaders],'Data entry'!A497))</f>
        <v>.00</v>
      </c>
    </row>
    <row r="498" spans="1:3" x14ac:dyDescent="0.3">
      <c r="A498" s="7">
        <f t="shared" si="20"/>
        <v>0</v>
      </c>
      <c r="B498" s="8" t="str">
        <f t="shared" si="19"/>
        <v>0.00</v>
      </c>
      <c r="C498" s="29" t="str">
        <f>IF(COUNTIFS(Budget_items[Subheaders],'Data entry'!A498)&lt;10,".0"&amp;COUNTIFS(Budget_items[Subheaders],'Data entry'!A498),"."&amp;COUNTIFS(Budget_items[Subheaders],'Data entry'!A498))</f>
        <v>.00</v>
      </c>
    </row>
    <row r="499" spans="1:3" x14ac:dyDescent="0.3">
      <c r="A499" s="7">
        <f t="shared" si="20"/>
        <v>0</v>
      </c>
      <c r="B499" s="8" t="str">
        <f t="shared" si="19"/>
        <v>0.00</v>
      </c>
      <c r="C499" s="29" t="str">
        <f>IF(COUNTIFS(Budget_items[Subheaders],'Data entry'!A499)&lt;10,".0"&amp;COUNTIFS(Budget_items[Subheaders],'Data entry'!A499),"."&amp;COUNTIFS(Budget_items[Subheaders],'Data entry'!A499))</f>
        <v>.00</v>
      </c>
    </row>
    <row r="500" spans="1:3" x14ac:dyDescent="0.3">
      <c r="A500" s="7">
        <f t="shared" si="20"/>
        <v>0</v>
      </c>
      <c r="B500" s="8" t="str">
        <f t="shared" si="19"/>
        <v>0.00</v>
      </c>
      <c r="C500" s="29" t="str">
        <f>IF(COUNTIFS(Budget_items[Subheaders],'Data entry'!A500)&lt;10,".0"&amp;COUNTIFS(Budget_items[Subheaders],'Data entry'!A500),"."&amp;COUNTIFS(Budget_items[Subheaders],'Data entry'!A500))</f>
        <v>.00</v>
      </c>
    </row>
    <row r="501" spans="1:3" x14ac:dyDescent="0.3">
      <c r="A501" s="7">
        <f t="shared" si="20"/>
        <v>0</v>
      </c>
      <c r="B501" s="8" t="str">
        <f t="shared" si="19"/>
        <v>0.00</v>
      </c>
      <c r="C501" s="29" t="str">
        <f>IF(COUNTIFS(Budget_items[Subheaders],'Data entry'!A501)&lt;10,".0"&amp;COUNTIFS(Budget_items[Subheaders],'Data entry'!A501),"."&amp;COUNTIFS(Budget_items[Subheaders],'Data entry'!A501))</f>
        <v>.00</v>
      </c>
    </row>
    <row r="502" spans="1:3" x14ac:dyDescent="0.3">
      <c r="A502" s="7">
        <f t="shared" si="20"/>
        <v>0</v>
      </c>
      <c r="B502" s="8" t="str">
        <f t="shared" si="19"/>
        <v>0.00</v>
      </c>
      <c r="C502" s="29" t="str">
        <f>IF(COUNTIFS(Budget_items[Subheaders],'Data entry'!A502)&lt;10,".0"&amp;COUNTIFS(Budget_items[Subheaders],'Data entry'!A502),"."&amp;COUNTIFS(Budget_items[Subheaders],'Data entry'!A502))</f>
        <v>.00</v>
      </c>
    </row>
    <row r="503" spans="1:3" x14ac:dyDescent="0.3">
      <c r="A503" s="7">
        <f t="shared" si="20"/>
        <v>0</v>
      </c>
      <c r="B503" s="8" t="str">
        <f t="shared" si="19"/>
        <v>0.00</v>
      </c>
      <c r="C503" s="29" t="str">
        <f>IF(COUNTIFS(Budget_items[Subheaders],'Data entry'!A503)&lt;10,".0"&amp;COUNTIFS(Budget_items[Subheaders],'Data entry'!A503),"."&amp;COUNTIFS(Budget_items[Subheaders],'Data entry'!A503))</f>
        <v>.00</v>
      </c>
    </row>
    <row r="504" spans="1:3" x14ac:dyDescent="0.3">
      <c r="A504" s="7">
        <f t="shared" si="20"/>
        <v>0</v>
      </c>
      <c r="B504" s="8" t="str">
        <f t="shared" si="19"/>
        <v>0.00</v>
      </c>
      <c r="C504" s="29" t="str">
        <f>IF(COUNTIFS(Budget_items[Subheaders],'Data entry'!A504)&lt;10,".0"&amp;COUNTIFS(Budget_items[Subheaders],'Data entry'!A504),"."&amp;COUNTIFS(Budget_items[Subheaders],'Data entry'!A504))</f>
        <v>.00</v>
      </c>
    </row>
    <row r="505" spans="1:3" x14ac:dyDescent="0.3">
      <c r="A505" s="7">
        <f t="shared" si="20"/>
        <v>0</v>
      </c>
      <c r="B505" s="8" t="str">
        <f t="shared" si="19"/>
        <v>0.00</v>
      </c>
      <c r="C505" s="29" t="str">
        <f>IF(COUNTIFS(Budget_items[Subheaders],'Data entry'!A505)&lt;10,".0"&amp;COUNTIFS(Budget_items[Subheaders],'Data entry'!A505),"."&amp;COUNTIFS(Budget_items[Subheaders],'Data entry'!A505))</f>
        <v>.00</v>
      </c>
    </row>
    <row r="506" spans="1:3" x14ac:dyDescent="0.3">
      <c r="A506" s="7">
        <f t="shared" si="20"/>
        <v>0</v>
      </c>
      <c r="B506" s="8" t="str">
        <f t="shared" si="19"/>
        <v>0.00</v>
      </c>
      <c r="C506" s="29" t="str">
        <f>IF(COUNTIFS(Budget_items[Subheaders],'Data entry'!A506)&lt;10,".0"&amp;COUNTIFS(Budget_items[Subheaders],'Data entry'!A506),"."&amp;COUNTIFS(Budget_items[Subheaders],'Data entry'!A506))</f>
        <v>.00</v>
      </c>
    </row>
    <row r="507" spans="1:3" x14ac:dyDescent="0.3">
      <c r="A507" s="7">
        <f t="shared" si="20"/>
        <v>0</v>
      </c>
      <c r="B507" s="8" t="str">
        <f t="shared" si="19"/>
        <v>0.00</v>
      </c>
      <c r="C507" s="29" t="str">
        <f>IF(COUNTIFS(Budget_items[Subheaders],'Data entry'!A507)&lt;10,".0"&amp;COUNTIFS(Budget_items[Subheaders],'Data entry'!A507),"."&amp;COUNTIFS(Budget_items[Subheaders],'Data entry'!A507))</f>
        <v>.00</v>
      </c>
    </row>
    <row r="508" spans="1:3" x14ac:dyDescent="0.3">
      <c r="A508" s="7">
        <f t="shared" si="20"/>
        <v>0</v>
      </c>
      <c r="B508" s="8" t="str">
        <f t="shared" si="19"/>
        <v>0.00</v>
      </c>
      <c r="C508" s="29" t="str">
        <f>IF(COUNTIFS(Budget_items[Subheaders],'Data entry'!A508)&lt;10,".0"&amp;COUNTIFS(Budget_items[Subheaders],'Data entry'!A508),"."&amp;COUNTIFS(Budget_items[Subheaders],'Data entry'!A508))</f>
        <v>.00</v>
      </c>
    </row>
    <row r="509" spans="1:3" x14ac:dyDescent="0.3">
      <c r="A509" s="7">
        <f t="shared" si="20"/>
        <v>0</v>
      </c>
      <c r="B509" s="8" t="str">
        <f t="shared" si="19"/>
        <v>0.00</v>
      </c>
      <c r="C509" s="29" t="str">
        <f>IF(COUNTIFS(Budget_items[Subheaders],'Data entry'!A509)&lt;10,".0"&amp;COUNTIFS(Budget_items[Subheaders],'Data entry'!A509),"."&amp;COUNTIFS(Budget_items[Subheaders],'Data entry'!A509))</f>
        <v>.00</v>
      </c>
    </row>
    <row r="510" spans="1:3" x14ac:dyDescent="0.3">
      <c r="A510" s="7">
        <f t="shared" si="20"/>
        <v>0</v>
      </c>
      <c r="B510" s="8" t="str">
        <f t="shared" si="19"/>
        <v>0.00</v>
      </c>
      <c r="C510" s="29" t="str">
        <f>IF(COUNTIFS(Budget_items[Subheaders],'Data entry'!A510)&lt;10,".0"&amp;COUNTIFS(Budget_items[Subheaders],'Data entry'!A510),"."&amp;COUNTIFS(Budget_items[Subheaders],'Data entry'!A510))</f>
        <v>.00</v>
      </c>
    </row>
    <row r="511" spans="1:3" x14ac:dyDescent="0.3">
      <c r="A511" s="7">
        <f t="shared" si="20"/>
        <v>0</v>
      </c>
      <c r="B511" s="8" t="str">
        <f t="shared" si="19"/>
        <v>0.00</v>
      </c>
      <c r="C511" s="29" t="str">
        <f>IF(COUNTIFS(Budget_items[Subheaders],'Data entry'!A511)&lt;10,".0"&amp;COUNTIFS(Budget_items[Subheaders],'Data entry'!A511),"."&amp;COUNTIFS(Budget_items[Subheaders],'Data entry'!A511))</f>
        <v>.00</v>
      </c>
    </row>
    <row r="512" spans="1:3" x14ac:dyDescent="0.3">
      <c r="A512" s="7">
        <f t="shared" si="20"/>
        <v>0</v>
      </c>
      <c r="B512" s="8" t="str">
        <f t="shared" si="19"/>
        <v>0.00</v>
      </c>
      <c r="C512" s="29" t="str">
        <f>IF(COUNTIFS(Budget_items[Subheaders],'Data entry'!A512)&lt;10,".0"&amp;COUNTIFS(Budget_items[Subheaders],'Data entry'!A512),"."&amp;COUNTIFS(Budget_items[Subheaders],'Data entry'!A512))</f>
        <v>.00</v>
      </c>
    </row>
    <row r="513" spans="1:3" x14ac:dyDescent="0.3">
      <c r="A513" s="7">
        <f t="shared" si="20"/>
        <v>0</v>
      </c>
      <c r="B513" s="8" t="str">
        <f t="shared" si="19"/>
        <v>0.00</v>
      </c>
      <c r="C513" s="29" t="str">
        <f>IF(COUNTIFS(Budget_items[Subheaders],'Data entry'!A513)&lt;10,".0"&amp;COUNTIFS(Budget_items[Subheaders],'Data entry'!A513),"."&amp;COUNTIFS(Budget_items[Subheaders],'Data entry'!A513))</f>
        <v>.00</v>
      </c>
    </row>
    <row r="514" spans="1:3" x14ac:dyDescent="0.3">
      <c r="A514" s="7">
        <f t="shared" si="20"/>
        <v>0</v>
      </c>
      <c r="B514" s="8" t="str">
        <f t="shared" si="19"/>
        <v>0.00</v>
      </c>
      <c r="C514" s="29" t="str">
        <f>IF(COUNTIFS(Budget_items[Subheaders],'Data entry'!A514)&lt;10,".0"&amp;COUNTIFS(Budget_items[Subheaders],'Data entry'!A514),"."&amp;COUNTIFS(Budget_items[Subheaders],'Data entry'!A514))</f>
        <v>.00</v>
      </c>
    </row>
    <row r="515" spans="1:3" x14ac:dyDescent="0.3">
      <c r="A515" s="7">
        <f t="shared" si="20"/>
        <v>0</v>
      </c>
      <c r="B515" s="8" t="str">
        <f t="shared" ref="B515:B578" si="21">LEFT(A515,4)&amp;C515</f>
        <v>0.00</v>
      </c>
      <c r="C515" s="29" t="str">
        <f>IF(COUNTIFS(Budget_items[Subheaders],'Data entry'!A515)&lt;10,".0"&amp;COUNTIFS(Budget_items[Subheaders],'Data entry'!A515),"."&amp;COUNTIFS(Budget_items[Subheaders],'Data entry'!A515))</f>
        <v>.00</v>
      </c>
    </row>
    <row r="516" spans="1:3" x14ac:dyDescent="0.3">
      <c r="A516" s="7">
        <f t="shared" si="20"/>
        <v>0</v>
      </c>
      <c r="B516" s="8" t="str">
        <f t="shared" si="21"/>
        <v>0.00</v>
      </c>
      <c r="C516" s="29" t="str">
        <f>IF(COUNTIFS(Budget_items[Subheaders],'Data entry'!A516)&lt;10,".0"&amp;COUNTIFS(Budget_items[Subheaders],'Data entry'!A516),"."&amp;COUNTIFS(Budget_items[Subheaders],'Data entry'!A516))</f>
        <v>.00</v>
      </c>
    </row>
    <row r="517" spans="1:3" x14ac:dyDescent="0.3">
      <c r="A517" s="7">
        <f t="shared" si="20"/>
        <v>0</v>
      </c>
      <c r="B517" s="8" t="str">
        <f t="shared" si="21"/>
        <v>0.00</v>
      </c>
      <c r="C517" s="29" t="str">
        <f>IF(COUNTIFS(Budget_items[Subheaders],'Data entry'!A517)&lt;10,".0"&amp;COUNTIFS(Budget_items[Subheaders],'Data entry'!A517),"."&amp;COUNTIFS(Budget_items[Subheaders],'Data entry'!A517))</f>
        <v>.00</v>
      </c>
    </row>
    <row r="518" spans="1:3" x14ac:dyDescent="0.3">
      <c r="A518" s="7">
        <f t="shared" si="20"/>
        <v>0</v>
      </c>
      <c r="B518" s="8" t="str">
        <f t="shared" si="21"/>
        <v>0.00</v>
      </c>
      <c r="C518" s="29" t="str">
        <f>IF(COUNTIFS(Budget_items[Subheaders],'Data entry'!A518)&lt;10,".0"&amp;COUNTIFS(Budget_items[Subheaders],'Data entry'!A518),"."&amp;COUNTIFS(Budget_items[Subheaders],'Data entry'!A518))</f>
        <v>.00</v>
      </c>
    </row>
    <row r="519" spans="1:3" x14ac:dyDescent="0.3">
      <c r="A519" s="7">
        <f t="shared" si="20"/>
        <v>0</v>
      </c>
      <c r="B519" s="8" t="str">
        <f t="shared" si="21"/>
        <v>0.00</v>
      </c>
      <c r="C519" s="29" t="str">
        <f>IF(COUNTIFS(Budget_items[Subheaders],'Data entry'!A519)&lt;10,".0"&amp;COUNTIFS(Budget_items[Subheaders],'Data entry'!A519),"."&amp;COUNTIFS(Budget_items[Subheaders],'Data entry'!A519))</f>
        <v>.00</v>
      </c>
    </row>
    <row r="520" spans="1:3" x14ac:dyDescent="0.3">
      <c r="A520" s="7">
        <f t="shared" si="20"/>
        <v>0</v>
      </c>
      <c r="B520" s="8" t="str">
        <f t="shared" si="21"/>
        <v>0.00</v>
      </c>
      <c r="C520" s="29" t="str">
        <f>IF(COUNTIFS(Budget_items[Subheaders],'Data entry'!A520)&lt;10,".0"&amp;COUNTIFS(Budget_items[Subheaders],'Data entry'!A520),"."&amp;COUNTIFS(Budget_items[Subheaders],'Data entry'!A520))</f>
        <v>.00</v>
      </c>
    </row>
    <row r="521" spans="1:3" x14ac:dyDescent="0.3">
      <c r="A521" s="7">
        <f t="shared" si="20"/>
        <v>0</v>
      </c>
      <c r="B521" s="8" t="str">
        <f t="shared" si="21"/>
        <v>0.00</v>
      </c>
      <c r="C521" s="29" t="str">
        <f>IF(COUNTIFS(Budget_items[Subheaders],'Data entry'!A521)&lt;10,".0"&amp;COUNTIFS(Budget_items[Subheaders],'Data entry'!A521),"."&amp;COUNTIFS(Budget_items[Subheaders],'Data entry'!A521))</f>
        <v>.00</v>
      </c>
    </row>
    <row r="522" spans="1:3" x14ac:dyDescent="0.3">
      <c r="A522" s="7">
        <f t="shared" si="20"/>
        <v>0</v>
      </c>
      <c r="B522" s="8" t="str">
        <f t="shared" si="21"/>
        <v>0.00</v>
      </c>
      <c r="C522" s="29" t="str">
        <f>IF(COUNTIFS(Budget_items[Subheaders],'Data entry'!A522)&lt;10,".0"&amp;COUNTIFS(Budget_items[Subheaders],'Data entry'!A522),"."&amp;COUNTIFS(Budget_items[Subheaders],'Data entry'!A522))</f>
        <v>.00</v>
      </c>
    </row>
    <row r="523" spans="1:3" x14ac:dyDescent="0.3">
      <c r="A523" s="7">
        <f t="shared" si="20"/>
        <v>0</v>
      </c>
      <c r="B523" s="8" t="str">
        <f t="shared" si="21"/>
        <v>0.00</v>
      </c>
      <c r="C523" s="29" t="str">
        <f>IF(COUNTIFS(Budget_items[Subheaders],'Data entry'!A523)&lt;10,".0"&amp;COUNTIFS(Budget_items[Subheaders],'Data entry'!A523),"."&amp;COUNTIFS(Budget_items[Subheaders],'Data entry'!A523))</f>
        <v>.00</v>
      </c>
    </row>
    <row r="524" spans="1:3" x14ac:dyDescent="0.3">
      <c r="A524" s="7">
        <f t="shared" si="20"/>
        <v>0</v>
      </c>
      <c r="B524" s="8" t="str">
        <f t="shared" si="21"/>
        <v>0.00</v>
      </c>
      <c r="C524" s="29" t="str">
        <f>IF(COUNTIFS(Budget_items[Subheaders],'Data entry'!A524)&lt;10,".0"&amp;COUNTIFS(Budget_items[Subheaders],'Data entry'!A524),"."&amp;COUNTIFS(Budget_items[Subheaders],'Data entry'!A524))</f>
        <v>.00</v>
      </c>
    </row>
    <row r="525" spans="1:3" x14ac:dyDescent="0.3">
      <c r="A525" s="7">
        <f t="shared" si="20"/>
        <v>0</v>
      </c>
      <c r="B525" s="8" t="str">
        <f t="shared" si="21"/>
        <v>0.00</v>
      </c>
      <c r="C525" s="29" t="str">
        <f>IF(COUNTIFS(Budget_items[Subheaders],'Data entry'!A525)&lt;10,".0"&amp;COUNTIFS(Budget_items[Subheaders],'Data entry'!A525),"."&amp;COUNTIFS(Budget_items[Subheaders],'Data entry'!A525))</f>
        <v>.00</v>
      </c>
    </row>
    <row r="526" spans="1:3" x14ac:dyDescent="0.3">
      <c r="A526" s="7">
        <f t="shared" si="20"/>
        <v>0</v>
      </c>
      <c r="B526" s="8" t="str">
        <f t="shared" si="21"/>
        <v>0.00</v>
      </c>
      <c r="C526" s="29" t="str">
        <f>IF(COUNTIFS(Budget_items[Subheaders],'Data entry'!A526)&lt;10,".0"&amp;COUNTIFS(Budget_items[Subheaders],'Data entry'!A526),"."&amp;COUNTIFS(Budget_items[Subheaders],'Data entry'!A526))</f>
        <v>.00</v>
      </c>
    </row>
    <row r="527" spans="1:3" x14ac:dyDescent="0.3">
      <c r="A527" s="7">
        <f t="shared" si="20"/>
        <v>0</v>
      </c>
      <c r="B527" s="8" t="str">
        <f t="shared" si="21"/>
        <v>0.00</v>
      </c>
      <c r="C527" s="29" t="str">
        <f>IF(COUNTIFS(Budget_items[Subheaders],'Data entry'!A527)&lt;10,".0"&amp;COUNTIFS(Budget_items[Subheaders],'Data entry'!A527),"."&amp;COUNTIFS(Budget_items[Subheaders],'Data entry'!A527))</f>
        <v>.00</v>
      </c>
    </row>
    <row r="528" spans="1:3" x14ac:dyDescent="0.3">
      <c r="A528" s="7">
        <f t="shared" si="20"/>
        <v>0</v>
      </c>
      <c r="B528" s="8" t="str">
        <f t="shared" si="21"/>
        <v>0.00</v>
      </c>
      <c r="C528" s="29" t="str">
        <f>IF(COUNTIFS(Budget_items[Subheaders],'Data entry'!A528)&lt;10,".0"&amp;COUNTIFS(Budget_items[Subheaders],'Data entry'!A528),"."&amp;COUNTIFS(Budget_items[Subheaders],'Data entry'!A528))</f>
        <v>.00</v>
      </c>
    </row>
    <row r="529" spans="1:3" x14ac:dyDescent="0.3">
      <c r="A529" s="7">
        <f t="shared" si="20"/>
        <v>0</v>
      </c>
      <c r="B529" s="8" t="str">
        <f t="shared" si="21"/>
        <v>0.00</v>
      </c>
      <c r="C529" s="29" t="str">
        <f>IF(COUNTIFS(Budget_items[Subheaders],'Data entry'!A529)&lt;10,".0"&amp;COUNTIFS(Budget_items[Subheaders],'Data entry'!A529),"."&amp;COUNTIFS(Budget_items[Subheaders],'Data entry'!A529))</f>
        <v>.00</v>
      </c>
    </row>
    <row r="530" spans="1:3" x14ac:dyDescent="0.3">
      <c r="A530" s="7">
        <f t="shared" si="20"/>
        <v>0</v>
      </c>
      <c r="B530" s="8" t="str">
        <f t="shared" si="21"/>
        <v>0.00</v>
      </c>
      <c r="C530" s="29" t="str">
        <f>IF(COUNTIFS(Budget_items[Subheaders],'Data entry'!A530)&lt;10,".0"&amp;COUNTIFS(Budget_items[Subheaders],'Data entry'!A530),"."&amp;COUNTIFS(Budget_items[Subheaders],'Data entry'!A530))</f>
        <v>.00</v>
      </c>
    </row>
    <row r="531" spans="1:3" x14ac:dyDescent="0.3">
      <c r="A531" s="7">
        <f t="shared" si="20"/>
        <v>0</v>
      </c>
      <c r="B531" s="8" t="str">
        <f t="shared" si="21"/>
        <v>0.00</v>
      </c>
      <c r="C531" s="29" t="str">
        <f>IF(COUNTIFS(Budget_items[Subheaders],'Data entry'!A531)&lt;10,".0"&amp;COUNTIFS(Budget_items[Subheaders],'Data entry'!A531),"."&amp;COUNTIFS(Budget_items[Subheaders],'Data entry'!A531))</f>
        <v>.00</v>
      </c>
    </row>
    <row r="532" spans="1:3" x14ac:dyDescent="0.3">
      <c r="A532" s="7">
        <f t="shared" si="20"/>
        <v>0</v>
      </c>
      <c r="B532" s="8" t="str">
        <f t="shared" si="21"/>
        <v>0.00</v>
      </c>
      <c r="C532" s="29" t="str">
        <f>IF(COUNTIFS(Budget_items[Subheaders],'Data entry'!A532)&lt;10,".0"&amp;COUNTIFS(Budget_items[Subheaders],'Data entry'!A532),"."&amp;COUNTIFS(Budget_items[Subheaders],'Data entry'!A532))</f>
        <v>.00</v>
      </c>
    </row>
    <row r="533" spans="1:3" x14ac:dyDescent="0.3">
      <c r="A533" s="7">
        <f t="shared" si="20"/>
        <v>0</v>
      </c>
      <c r="B533" s="8" t="str">
        <f t="shared" si="21"/>
        <v>0.00</v>
      </c>
      <c r="C533" s="29" t="str">
        <f>IF(COUNTIFS(Budget_items[Subheaders],'Data entry'!A533)&lt;10,".0"&amp;COUNTIFS(Budget_items[Subheaders],'Data entry'!A533),"."&amp;COUNTIFS(Budget_items[Subheaders],'Data entry'!A533))</f>
        <v>.00</v>
      </c>
    </row>
    <row r="534" spans="1:3" x14ac:dyDescent="0.3">
      <c r="A534" s="7">
        <f t="shared" si="20"/>
        <v>0</v>
      </c>
      <c r="B534" s="8" t="str">
        <f t="shared" si="21"/>
        <v>0.00</v>
      </c>
      <c r="C534" s="29" t="str">
        <f>IF(COUNTIFS(Budget_items[Subheaders],'Data entry'!A534)&lt;10,".0"&amp;COUNTIFS(Budget_items[Subheaders],'Data entry'!A534),"."&amp;COUNTIFS(Budget_items[Subheaders],'Data entry'!A534))</f>
        <v>.00</v>
      </c>
    </row>
    <row r="535" spans="1:3" x14ac:dyDescent="0.3">
      <c r="A535" s="7">
        <f t="shared" si="20"/>
        <v>0</v>
      </c>
      <c r="B535" s="8" t="str">
        <f t="shared" si="21"/>
        <v>0.00</v>
      </c>
      <c r="C535" s="29" t="str">
        <f>IF(COUNTIFS(Budget_items[Subheaders],'Data entry'!A535)&lt;10,".0"&amp;COUNTIFS(Budget_items[Subheaders],'Data entry'!A535),"."&amp;COUNTIFS(Budget_items[Subheaders],'Data entry'!A535))</f>
        <v>.00</v>
      </c>
    </row>
    <row r="536" spans="1:3" x14ac:dyDescent="0.3">
      <c r="A536" s="7">
        <f t="shared" si="20"/>
        <v>0</v>
      </c>
      <c r="B536" s="8" t="str">
        <f t="shared" si="21"/>
        <v>0.00</v>
      </c>
      <c r="C536" s="29" t="str">
        <f>IF(COUNTIFS(Budget_items[Subheaders],'Data entry'!A536)&lt;10,".0"&amp;COUNTIFS(Budget_items[Subheaders],'Data entry'!A536),"."&amp;COUNTIFS(Budget_items[Subheaders],'Data entry'!A536))</f>
        <v>.00</v>
      </c>
    </row>
    <row r="537" spans="1:3" x14ac:dyDescent="0.3">
      <c r="A537" s="7">
        <f t="shared" si="20"/>
        <v>0</v>
      </c>
      <c r="B537" s="8" t="str">
        <f t="shared" si="21"/>
        <v>0.00</v>
      </c>
      <c r="C537" s="29" t="str">
        <f>IF(COUNTIFS(Budget_items[Subheaders],'Data entry'!A537)&lt;10,".0"&amp;COUNTIFS(Budget_items[Subheaders],'Data entry'!A537),"."&amp;COUNTIFS(Budget_items[Subheaders],'Data entry'!A537))</f>
        <v>.00</v>
      </c>
    </row>
    <row r="538" spans="1:3" x14ac:dyDescent="0.3">
      <c r="A538" s="7">
        <f t="shared" ref="A538:A601" si="22">P540</f>
        <v>0</v>
      </c>
      <c r="B538" s="8" t="str">
        <f t="shared" si="21"/>
        <v>0.00</v>
      </c>
      <c r="C538" s="29" t="str">
        <f>IF(COUNTIFS(Budget_items[Subheaders],'Data entry'!A538)&lt;10,".0"&amp;COUNTIFS(Budget_items[Subheaders],'Data entry'!A538),"."&amp;COUNTIFS(Budget_items[Subheaders],'Data entry'!A538))</f>
        <v>.00</v>
      </c>
    </row>
    <row r="539" spans="1:3" x14ac:dyDescent="0.3">
      <c r="A539" s="7">
        <f t="shared" si="22"/>
        <v>0</v>
      </c>
      <c r="B539" s="8" t="str">
        <f t="shared" si="21"/>
        <v>0.00</v>
      </c>
      <c r="C539" s="29" t="str">
        <f>IF(COUNTIFS(Budget_items[Subheaders],'Data entry'!A539)&lt;10,".0"&amp;COUNTIFS(Budget_items[Subheaders],'Data entry'!A539),"."&amp;COUNTIFS(Budget_items[Subheaders],'Data entry'!A539))</f>
        <v>.00</v>
      </c>
    </row>
    <row r="540" spans="1:3" x14ac:dyDescent="0.3">
      <c r="A540" s="7">
        <f t="shared" si="22"/>
        <v>0</v>
      </c>
      <c r="B540" s="8" t="str">
        <f t="shared" si="21"/>
        <v>0.00</v>
      </c>
      <c r="C540" s="29" t="str">
        <f>IF(COUNTIFS(Budget_items[Subheaders],'Data entry'!A540)&lt;10,".0"&amp;COUNTIFS(Budget_items[Subheaders],'Data entry'!A540),"."&amp;COUNTIFS(Budget_items[Subheaders],'Data entry'!A540))</f>
        <v>.00</v>
      </c>
    </row>
    <row r="541" spans="1:3" x14ac:dyDescent="0.3">
      <c r="A541" s="7">
        <f t="shared" si="22"/>
        <v>0</v>
      </c>
      <c r="B541" s="8" t="str">
        <f t="shared" si="21"/>
        <v>0.00</v>
      </c>
      <c r="C541" s="29" t="str">
        <f>IF(COUNTIFS(Budget_items[Subheaders],'Data entry'!A541)&lt;10,".0"&amp;COUNTIFS(Budget_items[Subheaders],'Data entry'!A541),"."&amp;COUNTIFS(Budget_items[Subheaders],'Data entry'!A541))</f>
        <v>.00</v>
      </c>
    </row>
    <row r="542" spans="1:3" x14ac:dyDescent="0.3">
      <c r="A542" s="7">
        <f t="shared" si="22"/>
        <v>0</v>
      </c>
      <c r="B542" s="8" t="str">
        <f t="shared" si="21"/>
        <v>0.00</v>
      </c>
      <c r="C542" s="29" t="str">
        <f>IF(COUNTIFS(Budget_items[Subheaders],'Data entry'!A542)&lt;10,".0"&amp;COUNTIFS(Budget_items[Subheaders],'Data entry'!A542),"."&amp;COUNTIFS(Budget_items[Subheaders],'Data entry'!A542))</f>
        <v>.00</v>
      </c>
    </row>
    <row r="543" spans="1:3" x14ac:dyDescent="0.3">
      <c r="A543" s="7">
        <f t="shared" si="22"/>
        <v>0</v>
      </c>
      <c r="B543" s="8" t="str">
        <f t="shared" si="21"/>
        <v>0.00</v>
      </c>
      <c r="C543" s="29" t="str">
        <f>IF(COUNTIFS(Budget_items[Subheaders],'Data entry'!A543)&lt;10,".0"&amp;COUNTIFS(Budget_items[Subheaders],'Data entry'!A543),"."&amp;COUNTIFS(Budget_items[Subheaders],'Data entry'!A543))</f>
        <v>.00</v>
      </c>
    </row>
    <row r="544" spans="1:3" x14ac:dyDescent="0.3">
      <c r="A544" s="7">
        <f t="shared" si="22"/>
        <v>0</v>
      </c>
      <c r="B544" s="8" t="str">
        <f t="shared" si="21"/>
        <v>0.00</v>
      </c>
      <c r="C544" s="29" t="str">
        <f>IF(COUNTIFS(Budget_items[Subheaders],'Data entry'!A544)&lt;10,".0"&amp;COUNTIFS(Budget_items[Subheaders],'Data entry'!A544),"."&amp;COUNTIFS(Budget_items[Subheaders],'Data entry'!A544))</f>
        <v>.00</v>
      </c>
    </row>
    <row r="545" spans="1:3" x14ac:dyDescent="0.3">
      <c r="A545" s="7">
        <f t="shared" si="22"/>
        <v>0</v>
      </c>
      <c r="B545" s="8" t="str">
        <f t="shared" si="21"/>
        <v>0.00</v>
      </c>
      <c r="C545" s="29" t="str">
        <f>IF(COUNTIFS(Budget_items[Subheaders],'Data entry'!A545)&lt;10,".0"&amp;COUNTIFS(Budget_items[Subheaders],'Data entry'!A545),"."&amp;COUNTIFS(Budget_items[Subheaders],'Data entry'!A545))</f>
        <v>.00</v>
      </c>
    </row>
    <row r="546" spans="1:3" x14ac:dyDescent="0.3">
      <c r="A546" s="7">
        <f t="shared" si="22"/>
        <v>0</v>
      </c>
      <c r="B546" s="8" t="str">
        <f t="shared" si="21"/>
        <v>0.00</v>
      </c>
      <c r="C546" s="29" t="str">
        <f>IF(COUNTIFS(Budget_items[Subheaders],'Data entry'!A546)&lt;10,".0"&amp;COUNTIFS(Budget_items[Subheaders],'Data entry'!A546),"."&amp;COUNTIFS(Budget_items[Subheaders],'Data entry'!A546))</f>
        <v>.00</v>
      </c>
    </row>
    <row r="547" spans="1:3" x14ac:dyDescent="0.3">
      <c r="A547" s="7">
        <f t="shared" si="22"/>
        <v>0</v>
      </c>
      <c r="B547" s="8" t="str">
        <f t="shared" si="21"/>
        <v>0.00</v>
      </c>
      <c r="C547" s="29" t="str">
        <f>IF(COUNTIFS(Budget_items[Subheaders],'Data entry'!A547)&lt;10,".0"&amp;COUNTIFS(Budget_items[Subheaders],'Data entry'!A547),"."&amp;COUNTIFS(Budget_items[Subheaders],'Data entry'!A547))</f>
        <v>.00</v>
      </c>
    </row>
    <row r="548" spans="1:3" x14ac:dyDescent="0.3">
      <c r="A548" s="7">
        <f t="shared" si="22"/>
        <v>0</v>
      </c>
      <c r="B548" s="8" t="str">
        <f t="shared" si="21"/>
        <v>0.00</v>
      </c>
      <c r="C548" s="29" t="str">
        <f>IF(COUNTIFS(Budget_items[Subheaders],'Data entry'!A548)&lt;10,".0"&amp;COUNTIFS(Budget_items[Subheaders],'Data entry'!A548),"."&amp;COUNTIFS(Budget_items[Subheaders],'Data entry'!A548))</f>
        <v>.00</v>
      </c>
    </row>
    <row r="549" spans="1:3" x14ac:dyDescent="0.3">
      <c r="A549" s="7">
        <f t="shared" si="22"/>
        <v>0</v>
      </c>
      <c r="B549" s="8" t="str">
        <f t="shared" si="21"/>
        <v>0.00</v>
      </c>
      <c r="C549" s="29" t="str">
        <f>IF(COUNTIFS(Budget_items[Subheaders],'Data entry'!A549)&lt;10,".0"&amp;COUNTIFS(Budget_items[Subheaders],'Data entry'!A549),"."&amp;COUNTIFS(Budget_items[Subheaders],'Data entry'!A549))</f>
        <v>.00</v>
      </c>
    </row>
    <row r="550" spans="1:3" x14ac:dyDescent="0.3">
      <c r="A550" s="7">
        <f t="shared" si="22"/>
        <v>0</v>
      </c>
      <c r="B550" s="8" t="str">
        <f t="shared" si="21"/>
        <v>0.00</v>
      </c>
      <c r="C550" s="29" t="str">
        <f>IF(COUNTIFS(Budget_items[Subheaders],'Data entry'!A550)&lt;10,".0"&amp;COUNTIFS(Budget_items[Subheaders],'Data entry'!A550),"."&amp;COUNTIFS(Budget_items[Subheaders],'Data entry'!A550))</f>
        <v>.00</v>
      </c>
    </row>
    <row r="551" spans="1:3" x14ac:dyDescent="0.3">
      <c r="A551" s="7">
        <f t="shared" si="22"/>
        <v>0</v>
      </c>
      <c r="B551" s="8" t="str">
        <f t="shared" si="21"/>
        <v>0.00</v>
      </c>
      <c r="C551" s="29" t="str">
        <f>IF(COUNTIFS(Budget_items[Subheaders],'Data entry'!A551)&lt;10,".0"&amp;COUNTIFS(Budget_items[Subheaders],'Data entry'!A551),"."&amp;COUNTIFS(Budget_items[Subheaders],'Data entry'!A551))</f>
        <v>.00</v>
      </c>
    </row>
    <row r="552" spans="1:3" x14ac:dyDescent="0.3">
      <c r="A552" s="7">
        <f t="shared" si="22"/>
        <v>0</v>
      </c>
      <c r="B552" s="8" t="str">
        <f t="shared" si="21"/>
        <v>0.00</v>
      </c>
      <c r="C552" s="29" t="str">
        <f>IF(COUNTIFS(Budget_items[Subheaders],'Data entry'!A552)&lt;10,".0"&amp;COUNTIFS(Budget_items[Subheaders],'Data entry'!A552),"."&amp;COUNTIFS(Budget_items[Subheaders],'Data entry'!A552))</f>
        <v>.00</v>
      </c>
    </row>
    <row r="553" spans="1:3" x14ac:dyDescent="0.3">
      <c r="A553" s="7">
        <f t="shared" si="22"/>
        <v>0</v>
      </c>
      <c r="B553" s="8" t="str">
        <f t="shared" si="21"/>
        <v>0.00</v>
      </c>
      <c r="C553" s="29" t="str">
        <f>IF(COUNTIFS(Budget_items[Subheaders],'Data entry'!A553)&lt;10,".0"&amp;COUNTIFS(Budget_items[Subheaders],'Data entry'!A553),"."&amp;COUNTIFS(Budget_items[Subheaders],'Data entry'!A553))</f>
        <v>.00</v>
      </c>
    </row>
    <row r="554" spans="1:3" x14ac:dyDescent="0.3">
      <c r="A554" s="7">
        <f t="shared" si="22"/>
        <v>0</v>
      </c>
      <c r="B554" s="8" t="str">
        <f t="shared" si="21"/>
        <v>0.00</v>
      </c>
      <c r="C554" s="29" t="str">
        <f>IF(COUNTIFS(Budget_items[Subheaders],'Data entry'!A554)&lt;10,".0"&amp;COUNTIFS(Budget_items[Subheaders],'Data entry'!A554),"."&amp;COUNTIFS(Budget_items[Subheaders],'Data entry'!A554))</f>
        <v>.00</v>
      </c>
    </row>
    <row r="555" spans="1:3" x14ac:dyDescent="0.3">
      <c r="A555" s="7">
        <f t="shared" si="22"/>
        <v>0</v>
      </c>
      <c r="B555" s="8" t="str">
        <f t="shared" si="21"/>
        <v>0.00</v>
      </c>
      <c r="C555" s="29" t="str">
        <f>IF(COUNTIFS(Budget_items[Subheaders],'Data entry'!A555)&lt;10,".0"&amp;COUNTIFS(Budget_items[Subheaders],'Data entry'!A555),"."&amp;COUNTIFS(Budget_items[Subheaders],'Data entry'!A555))</f>
        <v>.00</v>
      </c>
    </row>
    <row r="556" spans="1:3" x14ac:dyDescent="0.3">
      <c r="A556" s="7">
        <f t="shared" si="22"/>
        <v>0</v>
      </c>
      <c r="B556" s="8" t="str">
        <f t="shared" si="21"/>
        <v>0.00</v>
      </c>
      <c r="C556" s="29" t="str">
        <f>IF(COUNTIFS(Budget_items[Subheaders],'Data entry'!A556)&lt;10,".0"&amp;COUNTIFS(Budget_items[Subheaders],'Data entry'!A556),"."&amp;COUNTIFS(Budget_items[Subheaders],'Data entry'!A556))</f>
        <v>.00</v>
      </c>
    </row>
    <row r="557" spans="1:3" x14ac:dyDescent="0.3">
      <c r="A557" s="7">
        <f t="shared" si="22"/>
        <v>0</v>
      </c>
      <c r="B557" s="8" t="str">
        <f t="shared" si="21"/>
        <v>0.00</v>
      </c>
      <c r="C557" s="29" t="str">
        <f>IF(COUNTIFS(Budget_items[Subheaders],'Data entry'!A557)&lt;10,".0"&amp;COUNTIFS(Budget_items[Subheaders],'Data entry'!A557),"."&amp;COUNTIFS(Budget_items[Subheaders],'Data entry'!A557))</f>
        <v>.00</v>
      </c>
    </row>
    <row r="558" spans="1:3" x14ac:dyDescent="0.3">
      <c r="A558" s="7">
        <f t="shared" si="22"/>
        <v>0</v>
      </c>
      <c r="B558" s="8" t="str">
        <f t="shared" si="21"/>
        <v>0.00</v>
      </c>
      <c r="C558" s="29" t="str">
        <f>IF(COUNTIFS(Budget_items[Subheaders],'Data entry'!A558)&lt;10,".0"&amp;COUNTIFS(Budget_items[Subheaders],'Data entry'!A558),"."&amp;COUNTIFS(Budget_items[Subheaders],'Data entry'!A558))</f>
        <v>.00</v>
      </c>
    </row>
    <row r="559" spans="1:3" x14ac:dyDescent="0.3">
      <c r="A559" s="7">
        <f t="shared" si="22"/>
        <v>0</v>
      </c>
      <c r="B559" s="8" t="str">
        <f t="shared" si="21"/>
        <v>0.00</v>
      </c>
      <c r="C559" s="29" t="str">
        <f>IF(COUNTIFS(Budget_items[Subheaders],'Data entry'!A559)&lt;10,".0"&amp;COUNTIFS(Budget_items[Subheaders],'Data entry'!A559),"."&amp;COUNTIFS(Budget_items[Subheaders],'Data entry'!A559))</f>
        <v>.00</v>
      </c>
    </row>
    <row r="560" spans="1:3" x14ac:dyDescent="0.3">
      <c r="A560" s="7">
        <f t="shared" si="22"/>
        <v>0</v>
      </c>
      <c r="B560" s="8" t="str">
        <f t="shared" si="21"/>
        <v>0.00</v>
      </c>
      <c r="C560" s="29" t="str">
        <f>IF(COUNTIFS(Budget_items[Subheaders],'Data entry'!A560)&lt;10,".0"&amp;COUNTIFS(Budget_items[Subheaders],'Data entry'!A560),"."&amp;COUNTIFS(Budget_items[Subheaders],'Data entry'!A560))</f>
        <v>.00</v>
      </c>
    </row>
    <row r="561" spans="1:3" x14ac:dyDescent="0.3">
      <c r="A561" s="7">
        <f t="shared" si="22"/>
        <v>0</v>
      </c>
      <c r="B561" s="8" t="str">
        <f t="shared" si="21"/>
        <v>0.00</v>
      </c>
      <c r="C561" s="29" t="str">
        <f>IF(COUNTIFS(Budget_items[Subheaders],'Data entry'!A561)&lt;10,".0"&amp;COUNTIFS(Budget_items[Subheaders],'Data entry'!A561),"."&amp;COUNTIFS(Budget_items[Subheaders],'Data entry'!A561))</f>
        <v>.00</v>
      </c>
    </row>
    <row r="562" spans="1:3" x14ac:dyDescent="0.3">
      <c r="A562" s="7">
        <f t="shared" si="22"/>
        <v>0</v>
      </c>
      <c r="B562" s="8" t="str">
        <f t="shared" si="21"/>
        <v>0.00</v>
      </c>
      <c r="C562" s="29" t="str">
        <f>IF(COUNTIFS(Budget_items[Subheaders],'Data entry'!A562)&lt;10,".0"&amp;COUNTIFS(Budget_items[Subheaders],'Data entry'!A562),"."&amp;COUNTIFS(Budget_items[Subheaders],'Data entry'!A562))</f>
        <v>.00</v>
      </c>
    </row>
    <row r="563" spans="1:3" x14ac:dyDescent="0.3">
      <c r="A563" s="7">
        <f t="shared" si="22"/>
        <v>0</v>
      </c>
      <c r="B563" s="8" t="str">
        <f t="shared" si="21"/>
        <v>0.00</v>
      </c>
      <c r="C563" s="29" t="str">
        <f>IF(COUNTIFS(Budget_items[Subheaders],'Data entry'!A563)&lt;10,".0"&amp;COUNTIFS(Budget_items[Subheaders],'Data entry'!A563),"."&amp;COUNTIFS(Budget_items[Subheaders],'Data entry'!A563))</f>
        <v>.00</v>
      </c>
    </row>
    <row r="564" spans="1:3" x14ac:dyDescent="0.3">
      <c r="A564" s="7">
        <f t="shared" si="22"/>
        <v>0</v>
      </c>
      <c r="B564" s="8" t="str">
        <f t="shared" si="21"/>
        <v>0.00</v>
      </c>
      <c r="C564" s="29" t="str">
        <f>IF(COUNTIFS(Budget_items[Subheaders],'Data entry'!A564)&lt;10,".0"&amp;COUNTIFS(Budget_items[Subheaders],'Data entry'!A564),"."&amp;COUNTIFS(Budget_items[Subheaders],'Data entry'!A564))</f>
        <v>.00</v>
      </c>
    </row>
    <row r="565" spans="1:3" x14ac:dyDescent="0.3">
      <c r="A565" s="7">
        <f t="shared" si="22"/>
        <v>0</v>
      </c>
      <c r="B565" s="8" t="str">
        <f t="shared" si="21"/>
        <v>0.00</v>
      </c>
      <c r="C565" s="29" t="str">
        <f>IF(COUNTIFS(Budget_items[Subheaders],'Data entry'!A565)&lt;10,".0"&amp;COUNTIFS(Budget_items[Subheaders],'Data entry'!A565),"."&amp;COUNTIFS(Budget_items[Subheaders],'Data entry'!A565))</f>
        <v>.00</v>
      </c>
    </row>
    <row r="566" spans="1:3" x14ac:dyDescent="0.3">
      <c r="A566" s="7">
        <f t="shared" si="22"/>
        <v>0</v>
      </c>
      <c r="B566" s="8" t="str">
        <f t="shared" si="21"/>
        <v>0.00</v>
      </c>
      <c r="C566" s="29" t="str">
        <f>IF(COUNTIFS(Budget_items[Subheaders],'Data entry'!A566)&lt;10,".0"&amp;COUNTIFS(Budget_items[Subheaders],'Data entry'!A566),"."&amp;COUNTIFS(Budget_items[Subheaders],'Data entry'!A566))</f>
        <v>.00</v>
      </c>
    </row>
    <row r="567" spans="1:3" x14ac:dyDescent="0.3">
      <c r="A567" s="7">
        <f t="shared" si="22"/>
        <v>0</v>
      </c>
      <c r="B567" s="8" t="str">
        <f t="shared" si="21"/>
        <v>0.00</v>
      </c>
      <c r="C567" s="29" t="str">
        <f>IF(COUNTIFS(Budget_items[Subheaders],'Data entry'!A567)&lt;10,".0"&amp;COUNTIFS(Budget_items[Subheaders],'Data entry'!A567),"."&amp;COUNTIFS(Budget_items[Subheaders],'Data entry'!A567))</f>
        <v>.00</v>
      </c>
    </row>
    <row r="568" spans="1:3" x14ac:dyDescent="0.3">
      <c r="A568" s="7">
        <f t="shared" si="22"/>
        <v>0</v>
      </c>
      <c r="B568" s="8" t="str">
        <f t="shared" si="21"/>
        <v>0.00</v>
      </c>
      <c r="C568" s="29" t="str">
        <f>IF(COUNTIFS(Budget_items[Subheaders],'Data entry'!A568)&lt;10,".0"&amp;COUNTIFS(Budget_items[Subheaders],'Data entry'!A568),"."&amp;COUNTIFS(Budget_items[Subheaders],'Data entry'!A568))</f>
        <v>.00</v>
      </c>
    </row>
    <row r="569" spans="1:3" x14ac:dyDescent="0.3">
      <c r="A569" s="7">
        <f t="shared" si="22"/>
        <v>0</v>
      </c>
      <c r="B569" s="8" t="str">
        <f t="shared" si="21"/>
        <v>0.00</v>
      </c>
      <c r="C569" s="29" t="str">
        <f>IF(COUNTIFS(Budget_items[Subheaders],'Data entry'!A569)&lt;10,".0"&amp;COUNTIFS(Budget_items[Subheaders],'Data entry'!A569),"."&amp;COUNTIFS(Budget_items[Subheaders],'Data entry'!A569))</f>
        <v>.00</v>
      </c>
    </row>
    <row r="570" spans="1:3" x14ac:dyDescent="0.3">
      <c r="A570" s="7">
        <f t="shared" si="22"/>
        <v>0</v>
      </c>
      <c r="B570" s="8" t="str">
        <f t="shared" si="21"/>
        <v>0.00</v>
      </c>
      <c r="C570" s="29" t="str">
        <f>IF(COUNTIFS(Budget_items[Subheaders],'Data entry'!A570)&lt;10,".0"&amp;COUNTIFS(Budget_items[Subheaders],'Data entry'!A570),"."&amp;COUNTIFS(Budget_items[Subheaders],'Data entry'!A570))</f>
        <v>.00</v>
      </c>
    </row>
    <row r="571" spans="1:3" x14ac:dyDescent="0.3">
      <c r="A571" s="7">
        <f t="shared" si="22"/>
        <v>0</v>
      </c>
      <c r="B571" s="8" t="str">
        <f t="shared" si="21"/>
        <v>0.00</v>
      </c>
      <c r="C571" s="29" t="str">
        <f>IF(COUNTIFS(Budget_items[Subheaders],'Data entry'!A571)&lt;10,".0"&amp;COUNTIFS(Budget_items[Subheaders],'Data entry'!A571),"."&amp;COUNTIFS(Budget_items[Subheaders],'Data entry'!A571))</f>
        <v>.00</v>
      </c>
    </row>
    <row r="572" spans="1:3" x14ac:dyDescent="0.3">
      <c r="A572" s="7">
        <f t="shared" si="22"/>
        <v>0</v>
      </c>
      <c r="B572" s="8" t="str">
        <f t="shared" si="21"/>
        <v>0.00</v>
      </c>
      <c r="C572" s="29" t="str">
        <f>IF(COUNTIFS(Budget_items[Subheaders],'Data entry'!A572)&lt;10,".0"&amp;COUNTIFS(Budget_items[Subheaders],'Data entry'!A572),"."&amp;COUNTIFS(Budget_items[Subheaders],'Data entry'!A572))</f>
        <v>.00</v>
      </c>
    </row>
    <row r="573" spans="1:3" x14ac:dyDescent="0.3">
      <c r="A573" s="7">
        <f t="shared" si="22"/>
        <v>0</v>
      </c>
      <c r="B573" s="8" t="str">
        <f t="shared" si="21"/>
        <v>0.00</v>
      </c>
      <c r="C573" s="29" t="str">
        <f>IF(COUNTIFS(Budget_items[Subheaders],'Data entry'!A573)&lt;10,".0"&amp;COUNTIFS(Budget_items[Subheaders],'Data entry'!A573),"."&amp;COUNTIFS(Budget_items[Subheaders],'Data entry'!A573))</f>
        <v>.00</v>
      </c>
    </row>
    <row r="574" spans="1:3" x14ac:dyDescent="0.3">
      <c r="A574" s="7">
        <f t="shared" si="22"/>
        <v>0</v>
      </c>
      <c r="B574" s="8" t="str">
        <f t="shared" si="21"/>
        <v>0.00</v>
      </c>
      <c r="C574" s="29" t="str">
        <f>IF(COUNTIFS(Budget_items[Subheaders],'Data entry'!A574)&lt;10,".0"&amp;COUNTIFS(Budget_items[Subheaders],'Data entry'!A574),"."&amp;COUNTIFS(Budget_items[Subheaders],'Data entry'!A574))</f>
        <v>.00</v>
      </c>
    </row>
    <row r="575" spans="1:3" x14ac:dyDescent="0.3">
      <c r="A575" s="7">
        <f t="shared" si="22"/>
        <v>0</v>
      </c>
      <c r="B575" s="8" t="str">
        <f t="shared" si="21"/>
        <v>0</v>
      </c>
    </row>
    <row r="576" spans="1:3" x14ac:dyDescent="0.3">
      <c r="A576" s="7">
        <f t="shared" si="22"/>
        <v>0</v>
      </c>
      <c r="B576" s="8" t="str">
        <f t="shared" si="21"/>
        <v>0</v>
      </c>
    </row>
    <row r="577" spans="1:2" x14ac:dyDescent="0.3">
      <c r="A577" s="7">
        <f t="shared" si="22"/>
        <v>0</v>
      </c>
      <c r="B577" s="8" t="str">
        <f t="shared" si="21"/>
        <v>0</v>
      </c>
    </row>
    <row r="578" spans="1:2" x14ac:dyDescent="0.3">
      <c r="A578" s="7">
        <f t="shared" si="22"/>
        <v>0</v>
      </c>
      <c r="B578" s="8" t="str">
        <f t="shared" si="21"/>
        <v>0</v>
      </c>
    </row>
    <row r="579" spans="1:2" x14ac:dyDescent="0.3">
      <c r="A579" s="7">
        <f t="shared" si="22"/>
        <v>0</v>
      </c>
      <c r="B579" s="8" t="str">
        <f t="shared" ref="B579:B617" si="23">LEFT(A579,4)&amp;C579</f>
        <v>0</v>
      </c>
    </row>
    <row r="580" spans="1:2" x14ac:dyDescent="0.3">
      <c r="A580" s="7">
        <f t="shared" si="22"/>
        <v>0</v>
      </c>
      <c r="B580" s="8" t="str">
        <f t="shared" si="23"/>
        <v>0</v>
      </c>
    </row>
    <row r="581" spans="1:2" x14ac:dyDescent="0.3">
      <c r="A581" s="7">
        <f t="shared" si="22"/>
        <v>0</v>
      </c>
      <c r="B581" s="8" t="str">
        <f t="shared" si="23"/>
        <v>0</v>
      </c>
    </row>
    <row r="582" spans="1:2" x14ac:dyDescent="0.3">
      <c r="A582" s="7">
        <f t="shared" si="22"/>
        <v>0</v>
      </c>
      <c r="B582" s="8" t="str">
        <f t="shared" si="23"/>
        <v>0</v>
      </c>
    </row>
    <row r="583" spans="1:2" x14ac:dyDescent="0.3">
      <c r="A583" s="7">
        <f t="shared" si="22"/>
        <v>0</v>
      </c>
      <c r="B583" s="8" t="str">
        <f t="shared" si="23"/>
        <v>0</v>
      </c>
    </row>
    <row r="584" spans="1:2" x14ac:dyDescent="0.3">
      <c r="A584" s="7">
        <f t="shared" si="22"/>
        <v>0</v>
      </c>
      <c r="B584" s="8" t="str">
        <f t="shared" si="23"/>
        <v>0</v>
      </c>
    </row>
    <row r="585" spans="1:2" x14ac:dyDescent="0.3">
      <c r="A585" s="7">
        <f t="shared" si="22"/>
        <v>0</v>
      </c>
      <c r="B585" s="8" t="str">
        <f t="shared" si="23"/>
        <v>0</v>
      </c>
    </row>
    <row r="586" spans="1:2" x14ac:dyDescent="0.3">
      <c r="A586" s="7">
        <f t="shared" si="22"/>
        <v>0</v>
      </c>
      <c r="B586" s="8" t="str">
        <f t="shared" si="23"/>
        <v>0</v>
      </c>
    </row>
    <row r="587" spans="1:2" x14ac:dyDescent="0.3">
      <c r="A587" s="7">
        <f t="shared" si="22"/>
        <v>0</v>
      </c>
      <c r="B587" s="8" t="str">
        <f t="shared" si="23"/>
        <v>0</v>
      </c>
    </row>
    <row r="588" spans="1:2" x14ac:dyDescent="0.3">
      <c r="A588" s="7">
        <f t="shared" si="22"/>
        <v>0</v>
      </c>
      <c r="B588" s="8" t="str">
        <f t="shared" si="23"/>
        <v>0</v>
      </c>
    </row>
    <row r="589" spans="1:2" x14ac:dyDescent="0.3">
      <c r="A589" s="7">
        <f t="shared" si="22"/>
        <v>0</v>
      </c>
      <c r="B589" s="8" t="str">
        <f t="shared" si="23"/>
        <v>0</v>
      </c>
    </row>
    <row r="590" spans="1:2" x14ac:dyDescent="0.3">
      <c r="A590" s="7">
        <f t="shared" si="22"/>
        <v>0</v>
      </c>
      <c r="B590" s="8" t="str">
        <f t="shared" si="23"/>
        <v>0</v>
      </c>
    </row>
    <row r="591" spans="1:2" x14ac:dyDescent="0.3">
      <c r="A591" s="7">
        <f t="shared" si="22"/>
        <v>0</v>
      </c>
      <c r="B591" s="8" t="str">
        <f t="shared" si="23"/>
        <v>0</v>
      </c>
    </row>
    <row r="592" spans="1:2" x14ac:dyDescent="0.3">
      <c r="A592" s="7">
        <f t="shared" si="22"/>
        <v>0</v>
      </c>
      <c r="B592" s="8" t="str">
        <f t="shared" si="23"/>
        <v>0</v>
      </c>
    </row>
    <row r="593" spans="1:2" x14ac:dyDescent="0.3">
      <c r="A593" s="7">
        <f t="shared" si="22"/>
        <v>0</v>
      </c>
      <c r="B593" s="8" t="str">
        <f t="shared" si="23"/>
        <v>0</v>
      </c>
    </row>
    <row r="594" spans="1:2" x14ac:dyDescent="0.3">
      <c r="A594" s="7">
        <f t="shared" si="22"/>
        <v>0</v>
      </c>
      <c r="B594" s="8" t="str">
        <f t="shared" si="23"/>
        <v>0</v>
      </c>
    </row>
    <row r="595" spans="1:2" x14ac:dyDescent="0.3">
      <c r="A595" s="7">
        <f t="shared" si="22"/>
        <v>0</v>
      </c>
      <c r="B595" s="8" t="str">
        <f t="shared" si="23"/>
        <v>0</v>
      </c>
    </row>
    <row r="596" spans="1:2" x14ac:dyDescent="0.3">
      <c r="A596" s="7">
        <f t="shared" si="22"/>
        <v>0</v>
      </c>
      <c r="B596" s="8" t="str">
        <f t="shared" si="23"/>
        <v>0</v>
      </c>
    </row>
    <row r="597" spans="1:2" x14ac:dyDescent="0.3">
      <c r="A597" s="7">
        <f t="shared" si="22"/>
        <v>0</v>
      </c>
      <c r="B597" s="8" t="str">
        <f t="shared" si="23"/>
        <v>0</v>
      </c>
    </row>
    <row r="598" spans="1:2" x14ac:dyDescent="0.3">
      <c r="A598" s="7">
        <f t="shared" si="22"/>
        <v>0</v>
      </c>
      <c r="B598" s="8" t="str">
        <f t="shared" si="23"/>
        <v>0</v>
      </c>
    </row>
    <row r="599" spans="1:2" x14ac:dyDescent="0.3">
      <c r="A599" s="7">
        <f t="shared" si="22"/>
        <v>0</v>
      </c>
      <c r="B599" s="8" t="str">
        <f t="shared" si="23"/>
        <v>0</v>
      </c>
    </row>
    <row r="600" spans="1:2" x14ac:dyDescent="0.3">
      <c r="A600" s="7">
        <f t="shared" si="22"/>
        <v>0</v>
      </c>
      <c r="B600" s="8" t="str">
        <f t="shared" si="23"/>
        <v>0</v>
      </c>
    </row>
    <row r="601" spans="1:2" x14ac:dyDescent="0.3">
      <c r="A601" s="7">
        <f t="shared" si="22"/>
        <v>0</v>
      </c>
      <c r="B601" s="8" t="str">
        <f t="shared" si="23"/>
        <v>0</v>
      </c>
    </row>
    <row r="602" spans="1:2" x14ac:dyDescent="0.3">
      <c r="A602" s="7">
        <f t="shared" ref="A602:A617" si="24">P604</f>
        <v>0</v>
      </c>
      <c r="B602" s="8" t="str">
        <f t="shared" si="23"/>
        <v>0</v>
      </c>
    </row>
    <row r="603" spans="1:2" x14ac:dyDescent="0.3">
      <c r="A603" s="7">
        <f t="shared" si="24"/>
        <v>0</v>
      </c>
      <c r="B603" s="8" t="str">
        <f t="shared" si="23"/>
        <v>0</v>
      </c>
    </row>
    <row r="604" spans="1:2" x14ac:dyDescent="0.3">
      <c r="A604" s="7">
        <f t="shared" si="24"/>
        <v>0</v>
      </c>
      <c r="B604" s="8" t="str">
        <f t="shared" si="23"/>
        <v>0</v>
      </c>
    </row>
    <row r="605" spans="1:2" x14ac:dyDescent="0.3">
      <c r="A605" s="7">
        <f t="shared" si="24"/>
        <v>0</v>
      </c>
      <c r="B605" s="8" t="str">
        <f t="shared" si="23"/>
        <v>0</v>
      </c>
    </row>
    <row r="606" spans="1:2" x14ac:dyDescent="0.3">
      <c r="A606" s="7">
        <f t="shared" si="24"/>
        <v>0</v>
      </c>
      <c r="B606" s="8" t="str">
        <f t="shared" si="23"/>
        <v>0</v>
      </c>
    </row>
    <row r="607" spans="1:2" x14ac:dyDescent="0.3">
      <c r="A607" s="7">
        <f t="shared" si="24"/>
        <v>0</v>
      </c>
      <c r="B607" s="8" t="str">
        <f t="shared" si="23"/>
        <v>0</v>
      </c>
    </row>
    <row r="608" spans="1:2" x14ac:dyDescent="0.3">
      <c r="A608" s="7">
        <f t="shared" si="24"/>
        <v>0</v>
      </c>
      <c r="B608" s="8" t="str">
        <f t="shared" si="23"/>
        <v>0</v>
      </c>
    </row>
    <row r="609" spans="1:2" x14ac:dyDescent="0.3">
      <c r="A609" s="7">
        <f t="shared" si="24"/>
        <v>0</v>
      </c>
      <c r="B609" s="8" t="str">
        <f t="shared" si="23"/>
        <v>0</v>
      </c>
    </row>
    <row r="610" spans="1:2" x14ac:dyDescent="0.3">
      <c r="A610" s="7">
        <f t="shared" si="24"/>
        <v>0</v>
      </c>
      <c r="B610" s="8" t="str">
        <f t="shared" si="23"/>
        <v>0</v>
      </c>
    </row>
    <row r="611" spans="1:2" x14ac:dyDescent="0.3">
      <c r="A611" s="7">
        <f t="shared" si="24"/>
        <v>0</v>
      </c>
      <c r="B611" s="8" t="str">
        <f t="shared" si="23"/>
        <v>0</v>
      </c>
    </row>
    <row r="612" spans="1:2" x14ac:dyDescent="0.3">
      <c r="A612" s="7">
        <f t="shared" si="24"/>
        <v>0</v>
      </c>
      <c r="B612" s="8" t="str">
        <f t="shared" si="23"/>
        <v>0</v>
      </c>
    </row>
    <row r="613" spans="1:2" x14ac:dyDescent="0.3">
      <c r="A613" s="7">
        <f t="shared" si="24"/>
        <v>0</v>
      </c>
      <c r="B613" s="8" t="str">
        <f t="shared" si="23"/>
        <v>0</v>
      </c>
    </row>
    <row r="614" spans="1:2" x14ac:dyDescent="0.3">
      <c r="A614" s="7">
        <f t="shared" si="24"/>
        <v>0</v>
      </c>
      <c r="B614" s="8" t="str">
        <f t="shared" si="23"/>
        <v>0</v>
      </c>
    </row>
    <row r="615" spans="1:2" x14ac:dyDescent="0.3">
      <c r="A615" s="7">
        <f t="shared" si="24"/>
        <v>0</v>
      </c>
      <c r="B615" s="8" t="str">
        <f t="shared" si="23"/>
        <v>0</v>
      </c>
    </row>
    <row r="616" spans="1:2" x14ac:dyDescent="0.3">
      <c r="A616" s="7">
        <f t="shared" si="24"/>
        <v>0</v>
      </c>
      <c r="B616" s="8" t="str">
        <f t="shared" si="23"/>
        <v>0</v>
      </c>
    </row>
    <row r="617" spans="1:2" x14ac:dyDescent="0.3">
      <c r="A617" s="7">
        <f t="shared" si="24"/>
        <v>0</v>
      </c>
      <c r="B617" s="8" t="str">
        <f t="shared" si="23"/>
        <v>0</v>
      </c>
    </row>
  </sheetData>
  <dataConsolidate/>
  <mergeCells count="4">
    <mergeCell ref="D1:E1"/>
    <mergeCell ref="D10:E10"/>
    <mergeCell ref="G1:H1"/>
    <mergeCell ref="J1:K1"/>
  </mergeCells>
  <phoneticPr fontId="3" type="noConversion"/>
  <dataValidations count="2">
    <dataValidation type="list" allowBlank="1" showInputMessage="1" showErrorMessage="1" sqref="E2" xr:uid="{A72F4276-A0C6-4048-98DE-4E4517B56DE0}">
      <formula1>$M$2:$M$1048576</formula1>
    </dataValidation>
    <dataValidation type="list" allowBlank="1" showInputMessage="1" showErrorMessage="1" sqref="E3" xr:uid="{A23A1F9A-9F1B-48B1-86C9-32EBD7ACCE0F}">
      <formula1>$P$3:$P$1048576</formula1>
    </dataValidation>
  </dataValidations>
  <pageMargins left="0.7" right="0.7" top="0.75" bottom="0.75" header="0.3" footer="0.3"/>
  <pageSetup paperSize="9" orientation="portrait" horizontalDpi="300" verticalDpi="300" r:id="rId1"/>
  <drawing r:id="rId2"/>
  <tableParts count="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E91E7B43-6526-47C8-9828-7E9EDA5561D3}">
          <x14:formula1>
            <xm:f>Row!$A:$A</xm:f>
          </x14:formula1>
          <xm:sqref>H2 L2</xm:sqref>
        </x14:dataValidation>
        <x14:dataValidation type="list" allowBlank="1" showInputMessage="1" showErrorMessage="1" xr:uid="{91682703-A3FB-494C-9DD1-4311F01FCBBF}">
          <x14:formula1>
            <xm:f>Row!$C$2:$C$13</xm:f>
          </x14:formula1>
          <xm:sqref>E7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F174-2C52-406C-92C1-6F43530D36DE}">
  <dimension ref="A1:D93"/>
  <sheetViews>
    <sheetView zoomScale="86" zoomScaleNormal="85" workbookViewId="0">
      <selection activeCell="H83" sqref="H83"/>
    </sheetView>
  </sheetViews>
  <sheetFormatPr defaultRowHeight="14.4" x14ac:dyDescent="0.3"/>
  <cols>
    <col min="1" max="1" width="9.88671875" bestFit="1" customWidth="1"/>
    <col min="2" max="2" width="87.109375" bestFit="1" customWidth="1"/>
    <col min="3" max="3" width="12.5546875" style="4" bestFit="1" customWidth="1"/>
    <col min="4" max="4" width="19.33203125" bestFit="1" customWidth="1"/>
  </cols>
  <sheetData>
    <row r="1" spans="1:4" x14ac:dyDescent="0.3">
      <c r="A1" t="s">
        <v>0</v>
      </c>
      <c r="B1" t="s">
        <v>1</v>
      </c>
      <c r="C1" s="4" t="s">
        <v>3</v>
      </c>
      <c r="D1" s="4" t="s">
        <v>240</v>
      </c>
    </row>
    <row r="2" spans="1:4" x14ac:dyDescent="0.3">
      <c r="A2" t="str">
        <f>Budget_items[[#This Row],[Code]]</f>
        <v>1.01.01</v>
      </c>
      <c r="B2" s="3" t="str">
        <f>Budget_items[[#This Row],[Description]]</f>
        <v>General construction site costs (cleaning, waste, coffee, temporary cylinders etc.)</v>
      </c>
      <c r="C2" s="5">
        <f>Budget_items[[#This Row],[€ /  Unit]]</f>
        <v>5</v>
      </c>
      <c r="D2" s="5">
        <f>Budget_items[[#This Row],[€ /  Unit + Finishing]]</f>
        <v>5</v>
      </c>
    </row>
    <row r="3" spans="1:4" x14ac:dyDescent="0.3">
      <c r="A3" t="str">
        <f>Budget_items[[#This Row],[Code]]</f>
        <v>1.01.02</v>
      </c>
      <c r="B3" s="3" t="str">
        <f>Budget_items[[#This Row],[Description]]</f>
        <v>Vertical transportation</v>
      </c>
      <c r="C3" s="5">
        <f>Budget_items[[#This Row],[€ /  Unit]]</f>
        <v>1500</v>
      </c>
      <c r="D3" s="5">
        <f>Budget_items[[#This Row],[€ /  Unit + Finishing]]</f>
        <v>1500</v>
      </c>
    </row>
    <row r="4" spans="1:4" x14ac:dyDescent="0.3">
      <c r="A4" t="str">
        <f>Budget_items[[#This Row],[Code]]</f>
        <v>1.01.03</v>
      </c>
      <c r="B4" s="3" t="str">
        <f>Budget_items[[#This Row],[Description]]</f>
        <v>Delivery cleaning / final cleaning</v>
      </c>
      <c r="C4" s="5">
        <f>Budget_items[[#This Row],[€ /  Unit]]</f>
        <v>4</v>
      </c>
      <c r="D4" s="5">
        <f>Budget_items[[#This Row],[€ /  Unit + Finishing]]</f>
        <v>4</v>
      </c>
    </row>
    <row r="5" spans="1:4" x14ac:dyDescent="0.3">
      <c r="A5" t="str">
        <f>Budget_items[[#This Row],[Code]]</f>
        <v>1.01.04</v>
      </c>
      <c r="B5" s="3" t="str">
        <f>Budget_items[[#This Row],[Description]]</f>
        <v>Project coordination (contractor) + parking costs</v>
      </c>
      <c r="C5" s="5">
        <f>Budget_items[[#This Row],[€ /  Unit]]</f>
        <v>1500</v>
      </c>
      <c r="D5" s="5">
        <f>Budget_items[[#This Row],[€ /  Unit + Finishing]]</f>
        <v>1500</v>
      </c>
    </row>
    <row r="6" spans="1:4" x14ac:dyDescent="0.3">
      <c r="A6" t="str">
        <f>Budget_items[[#This Row],[Code]]</f>
        <v>1.01.05</v>
      </c>
      <c r="B6" s="3" t="str">
        <f>Budget_items[[#This Row],[Description]]</f>
        <v>Werktekeningen en revisie</v>
      </c>
      <c r="C6" s="5">
        <f>Budget_items[[#This Row],[€ /  Unit]]</f>
        <v>2000</v>
      </c>
      <c r="D6" s="5">
        <f>Budget_items[[#This Row],[€ /  Unit + Finishing]]</f>
        <v>2000</v>
      </c>
    </row>
    <row r="7" spans="1:4" x14ac:dyDescent="0.3">
      <c r="A7" t="str">
        <f>Budget_items[[#This Row],[Code]]</f>
        <v>1.01.06</v>
      </c>
      <c r="B7" s="3" t="str">
        <f>Budget_items[[#This Row],[Description]]</f>
        <v>Overhead + profit and risk + CAR insurance (Ak + wr + carverzekering)</v>
      </c>
      <c r="C7" s="5">
        <f>Budget_items[[#This Row],[€ /  Unit]]</f>
        <v>0</v>
      </c>
      <c r="D7" s="5">
        <f>Budget_items[[#This Row],[€ /  Unit + Finishing]]</f>
        <v>0</v>
      </c>
    </row>
    <row r="8" spans="1:4" x14ac:dyDescent="0.3">
      <c r="A8" t="str">
        <f>Budget_items[[#This Row],[Code]]</f>
        <v>1.01.07</v>
      </c>
      <c r="B8" s="3" t="str">
        <f>Budget_items[[#This Row],[Description]]</f>
        <v>* Waste fee (stortleges) (65 euro per m3)</v>
      </c>
      <c r="C8" s="5">
        <f>Budget_items[[#This Row],[€ /  Unit]]</f>
        <v>2500</v>
      </c>
      <c r="D8" s="5">
        <f>Budget_items[[#This Row],[€ /  Unit + Finishing]]</f>
        <v>2500</v>
      </c>
    </row>
    <row r="9" spans="1:4" x14ac:dyDescent="0.3">
      <c r="A9" t="str">
        <f>Budget_items[[#This Row],[Code]]</f>
        <v>1.02.01</v>
      </c>
      <c r="B9" s="3" t="str">
        <f>Budget_items[[#This Row],[Description]]</f>
        <v>Demolition and disposal carpeting</v>
      </c>
      <c r="C9" s="5">
        <f>Budget_items[[#This Row],[€ /  Unit]]</f>
        <v>5</v>
      </c>
      <c r="D9" s="5">
        <f>Budget_items[[#This Row],[€ /  Unit + Finishing]]</f>
        <v>5</v>
      </c>
    </row>
    <row r="10" spans="1:4" x14ac:dyDescent="0.3">
      <c r="A10" t="str">
        <f>Budget_items[[#This Row],[Code]]</f>
        <v>1.02.02</v>
      </c>
      <c r="B10" s="3" t="str">
        <f>Budget_items[[#This Row],[Description]]</f>
        <v>Demolition and disposal partitioning</v>
      </c>
      <c r="C10" s="5">
        <f>Budget_items[[#This Row],[€ /  Unit]]</f>
        <v>25</v>
      </c>
      <c r="D10" s="5">
        <f>Budget_items[[#This Row],[€ /  Unit + Finishing]]</f>
        <v>25</v>
      </c>
    </row>
    <row r="11" spans="1:4" x14ac:dyDescent="0.3">
      <c r="A11" t="str">
        <f>Budget_items[[#This Row],[Code]]</f>
        <v>1.02.03</v>
      </c>
      <c r="B11" s="3" t="str">
        <f>Budget_items[[#This Row],[Description]]</f>
        <v>Demolition and disposal ceiling</v>
      </c>
      <c r="C11" s="5">
        <f>Budget_items[[#This Row],[€ /  Unit]]</f>
        <v>10</v>
      </c>
      <c r="D11" s="5">
        <f>Budget_items[[#This Row],[€ /  Unit + Finishing]]</f>
        <v>10</v>
      </c>
    </row>
    <row r="12" spans="1:4" x14ac:dyDescent="0.3">
      <c r="A12" t="str">
        <f>Budget_items[[#This Row],[Code]]</f>
        <v>1.02.04</v>
      </c>
      <c r="B12" s="3" t="str">
        <f>Budget_items[[#This Row],[Description]]</f>
        <v>Demolition and disposal loose furniture / inventory</v>
      </c>
      <c r="C12" s="5">
        <f>Budget_items[[#This Row],[€ /  Unit]]</f>
        <v>3500</v>
      </c>
      <c r="D12" s="5">
        <f>Budget_items[[#This Row],[€ /  Unit + Finishing]]</f>
        <v>3500</v>
      </c>
    </row>
    <row r="13" spans="1:4" x14ac:dyDescent="0.3">
      <c r="A13" t="str">
        <f>Budget_items[[#This Row],[Code]]</f>
        <v>1.03.01</v>
      </c>
      <c r="B13" s="3" t="str">
        <f>Budget_items[[#This Row],[Description]]</f>
        <v>* Solid walls including finishes</v>
      </c>
      <c r="C13" s="5">
        <f>Budget_items[[#This Row],[€ /  Unit]]</f>
        <v>122</v>
      </c>
      <c r="D13" s="5">
        <f>Budget_items[[#This Row],[€ /  Unit + Finishing]]</f>
        <v>122</v>
      </c>
    </row>
    <row r="14" spans="1:4" x14ac:dyDescent="0.3">
      <c r="A14" t="str">
        <f>Budget_items[[#This Row],[Code]]</f>
        <v>1.03.02</v>
      </c>
      <c r="B14" s="3" t="str">
        <f>Budget_items[[#This Row],[Description]]</f>
        <v>* Glass partitioning single glass</v>
      </c>
      <c r="C14" s="5">
        <f>Budget_items[[#This Row],[€ /  Unit]]</f>
        <v>225</v>
      </c>
      <c r="D14" s="5">
        <f>Budget_items[[#This Row],[€ /  Unit + Finishing]]</f>
        <v>225</v>
      </c>
    </row>
    <row r="15" spans="1:4" x14ac:dyDescent="0.3">
      <c r="A15" t="str">
        <f>Budget_items[[#This Row],[Code]]</f>
        <v>1.03.03</v>
      </c>
      <c r="B15" s="3" t="str">
        <f>Budget_items[[#This Row],[Description]]</f>
        <v>Glass partitioning double glass</v>
      </c>
      <c r="C15" s="5">
        <f>Budget_items[[#This Row],[€ /  Unit]]</f>
        <v>250</v>
      </c>
      <c r="D15" s="5">
        <f>Budget_items[[#This Row],[€ /  Unit + Finishing]]</f>
        <v>250</v>
      </c>
    </row>
    <row r="16" spans="1:4" x14ac:dyDescent="0.3">
      <c r="A16" t="str">
        <f>Budget_items[[#This Row],[Code]]</f>
        <v>1.03.04</v>
      </c>
      <c r="B16" s="3" t="str">
        <f>Budget_items[[#This Row],[Description]]</f>
        <v>* Framed door (glass with aluminium frame)</v>
      </c>
      <c r="C16" s="5">
        <f>Budget_items[[#This Row],[€ /  Unit]]</f>
        <v>1500</v>
      </c>
      <c r="D16" s="5">
        <f>Budget_items[[#This Row],[€ /  Unit + Finishing]]</f>
        <v>1500</v>
      </c>
    </row>
    <row r="17" spans="1:4" x14ac:dyDescent="0.3">
      <c r="A17" t="str">
        <f>Budget_items[[#This Row],[Code]]</f>
        <v>1.03.05</v>
      </c>
      <c r="B17" s="3" t="str">
        <f>Budget_items[[#This Row],[Description]]</f>
        <v>* Closed door (wood)</v>
      </c>
      <c r="C17" s="5">
        <f>Budget_items[[#This Row],[€ /  Unit]]</f>
        <v>650</v>
      </c>
      <c r="D17" s="5">
        <f>Budget_items[[#This Row],[€ /  Unit + Finishing]]</f>
        <v>650</v>
      </c>
    </row>
    <row r="18" spans="1:4" x14ac:dyDescent="0.3">
      <c r="A18" t="str">
        <f>Budget_items[[#This Row],[Code]]</f>
        <v>1.03.06</v>
      </c>
      <c r="B18" s="3" t="str">
        <f>Budget_items[[#This Row],[Description]]</f>
        <v>* Skirting (excl. painting)</v>
      </c>
      <c r="C18" s="5">
        <f>Budget_items[[#This Row],[€ /  Unit]]</f>
        <v>15</v>
      </c>
      <c r="D18" s="5">
        <f>Budget_items[[#This Row],[€ /  Unit + Finishing]]</f>
        <v>15</v>
      </c>
    </row>
    <row r="19" spans="1:4" x14ac:dyDescent="0.3">
      <c r="A19" t="str">
        <f>Budget_items[[#This Row],[Code]]</f>
        <v>1.03.07</v>
      </c>
      <c r="B19" s="3" t="str">
        <f>Budget_items[[#This Row],[Description]]</f>
        <v>Soundbarriers (33dB)</v>
      </c>
      <c r="C19" s="5">
        <f>Budget_items[[#This Row],[€ /  Unit]]</f>
        <v>35</v>
      </c>
      <c r="D19" s="5">
        <f>Budget_items[[#This Row],[€ /  Unit + Finishing]]</f>
        <v>35</v>
      </c>
    </row>
    <row r="20" spans="1:4" x14ac:dyDescent="0.3">
      <c r="A20" t="str">
        <f>Budget_items[[#This Row],[Code]]</f>
        <v>1.04.01</v>
      </c>
      <c r="B20" s="3" t="str">
        <f>Budget_items[[#This Row],[Description]]</f>
        <v>* Adjusting existing ceiling to layout</v>
      </c>
      <c r="C20" s="5">
        <f>Budget_items[[#This Row],[€ /  Unit]]</f>
        <v>20</v>
      </c>
      <c r="D20" s="5">
        <f>Budget_items[[#This Row],[€ /  Unit + Finishing]]</f>
        <v>20</v>
      </c>
    </row>
    <row r="21" spans="1:4" x14ac:dyDescent="0.3">
      <c r="A21" t="str">
        <f>Budget_items[[#This Row],[Code]]</f>
        <v>1.04.02</v>
      </c>
      <c r="B21" s="3" t="str">
        <f>Budget_items[[#This Row],[Description]]</f>
        <v>New ceiling (including grid)</v>
      </c>
      <c r="C21" s="5">
        <f>Budget_items[[#This Row],[€ /  Unit]]</f>
        <v>60</v>
      </c>
      <c r="D21" s="5">
        <f>Budget_items[[#This Row],[€ /  Unit + Finishing]]</f>
        <v>60</v>
      </c>
    </row>
    <row r="22" spans="1:4" x14ac:dyDescent="0.3">
      <c r="A22" t="str">
        <f>Budget_items[[#This Row],[Code]]</f>
        <v>1.04.03</v>
      </c>
      <c r="B22" s="3" t="str">
        <f>Budget_items[[#This Row],[Description]]</f>
        <v>Acoustic ceiling panels (ecophon panel)</v>
      </c>
      <c r="C22" s="5">
        <f>Budget_items[[#This Row],[€ /  Unit]]</f>
        <v>250</v>
      </c>
      <c r="D22" s="5">
        <f>Budget_items[[#This Row],[€ /  Unit + Finishing]]</f>
        <v>250</v>
      </c>
    </row>
    <row r="23" spans="1:4" x14ac:dyDescent="0.3">
      <c r="A23" t="str">
        <f>Budget_items[[#This Row],[Code]]</f>
        <v>1.05.01</v>
      </c>
      <c r="B23" s="3" t="str">
        <f>Budget_items[[#This Row],[Description]]</f>
        <v>Preparations (sanding, vacuuming)</v>
      </c>
      <c r="C23" s="5">
        <f>Budget_items[[#This Row],[€ /  Unit]]</f>
        <v>2</v>
      </c>
      <c r="D23" s="5">
        <f>Budget_items[[#This Row],[€ /  Unit + Finishing]]</f>
        <v>2</v>
      </c>
    </row>
    <row r="24" spans="1:4" x14ac:dyDescent="0.3">
      <c r="A24" t="str">
        <f>Budget_items[[#This Row],[Code]]</f>
        <v>1.05.02</v>
      </c>
      <c r="B24" s="3" t="str">
        <f>Budget_items[[#This Row],[Description]]</f>
        <v>Levelling floors</v>
      </c>
      <c r="C24" s="5">
        <f>Budget_items[[#This Row],[€ /  Unit]]</f>
        <v>8</v>
      </c>
      <c r="D24" s="5">
        <f>Budget_items[[#This Row],[€ /  Unit + Finishing]]</f>
        <v>8</v>
      </c>
    </row>
    <row r="25" spans="1:4" x14ac:dyDescent="0.3">
      <c r="A25" t="str">
        <f>Budget_items[[#This Row],[Code]]</f>
        <v>1.05.03</v>
      </c>
      <c r="B25" s="3" t="str">
        <f>Budget_items[[#This Row],[Description]]</f>
        <v>Carpet</v>
      </c>
      <c r="C25" s="5">
        <f>Budget_items[[#This Row],[€ /  Unit]]</f>
        <v>30</v>
      </c>
      <c r="D25" s="5">
        <f>Budget_items[[#This Row],[€ /  Unit + Finishing]]</f>
        <v>30</v>
      </c>
    </row>
    <row r="26" spans="1:4" x14ac:dyDescent="0.3">
      <c r="A26" t="str">
        <f>Budget_items[[#This Row],[Code]]</f>
        <v>1.05.04</v>
      </c>
      <c r="B26" s="3" t="str">
        <f>Budget_items[[#This Row],[Description]]</f>
        <v>Marmoleum</v>
      </c>
      <c r="C26" s="5">
        <f>Budget_items[[#This Row],[€ /  Unit]]</f>
        <v>30</v>
      </c>
      <c r="D26" s="5">
        <f>Budget_items[[#This Row],[€ /  Unit + Finishing]]</f>
        <v>30</v>
      </c>
    </row>
    <row r="27" spans="1:4" x14ac:dyDescent="0.3">
      <c r="A27" t="str">
        <f>Budget_items[[#This Row],[Code]]</f>
        <v>1.05.05</v>
      </c>
      <c r="B27" s="3" t="str">
        <f>Budget_items[[#This Row],[Description]]</f>
        <v>PVC</v>
      </c>
      <c r="C27" s="5">
        <f>Budget_items[[#This Row],[€ /  Unit]]</f>
        <v>45</v>
      </c>
      <c r="D27" s="5">
        <f>Budget_items[[#This Row],[€ /  Unit + Finishing]]</f>
        <v>45</v>
      </c>
    </row>
    <row r="28" spans="1:4" x14ac:dyDescent="0.3">
      <c r="A28" t="str">
        <f>Budget_items[[#This Row],[Code]]</f>
        <v>1.05.06</v>
      </c>
      <c r="B28" s="3" t="str">
        <f>Budget_items[[#This Row],[Description]]</f>
        <v>Parket</v>
      </c>
      <c r="C28" s="5">
        <f>Budget_items[[#This Row],[€ /  Unit]]</f>
        <v>75</v>
      </c>
      <c r="D28" s="5">
        <f>Budget_items[[#This Row],[€ /  Unit + Finishing]]</f>
        <v>75</v>
      </c>
    </row>
    <row r="29" spans="1:4" x14ac:dyDescent="0.3">
      <c r="A29" t="str">
        <f>Budget_items[[#This Row],[Code]]</f>
        <v>1.05.07</v>
      </c>
      <c r="B29" s="3" t="str">
        <f>Budget_items[[#This Row],[Description]]</f>
        <v>Transition profiles</v>
      </c>
      <c r="C29" s="5">
        <f>Budget_items[[#This Row],[€ /  Unit]]</f>
        <v>20</v>
      </c>
      <c r="D29" s="5">
        <f>Budget_items[[#This Row],[€ /  Unit + Finishing]]</f>
        <v>20</v>
      </c>
    </row>
    <row r="30" spans="1:4" x14ac:dyDescent="0.3">
      <c r="A30" t="str">
        <f>Budget_items[[#This Row],[Code]]</f>
        <v>1.05.08</v>
      </c>
      <c r="B30" s="3" t="str">
        <f>Budget_items[[#This Row],[Description]]</f>
        <v>Ceramic tiles</v>
      </c>
      <c r="C30" s="5">
        <f>Budget_items[[#This Row],[€ /  Unit]]</f>
        <v>125</v>
      </c>
      <c r="D30" s="5">
        <f>Budget_items[[#This Row],[€ /  Unit + Finishing]]</f>
        <v>125</v>
      </c>
    </row>
    <row r="31" spans="1:4" x14ac:dyDescent="0.3">
      <c r="A31" t="str">
        <f>Budget_items[[#This Row],[Code]]</f>
        <v>1.05.09</v>
      </c>
      <c r="B31" s="3" t="str">
        <f>Budget_items[[#This Row],[Description]]</f>
        <v>Cover up with easydek (including removing)</v>
      </c>
      <c r="C31" s="5">
        <f>Budget_items[[#This Row],[€ /  Unit]]</f>
        <v>4</v>
      </c>
      <c r="D31" s="5">
        <f>Budget_items[[#This Row],[€ /  Unit + Finishing]]</f>
        <v>4</v>
      </c>
    </row>
    <row r="32" spans="1:4" x14ac:dyDescent="0.3">
      <c r="A32" t="str">
        <f>Budget_items[[#This Row],[Code]]</f>
        <v>1.06.01</v>
      </c>
      <c r="B32" s="3" t="str">
        <f>Budget_items[[#This Row],[Description]]</f>
        <v>Painting white</v>
      </c>
      <c r="C32" s="5">
        <f>Budget_items[[#This Row],[€ /  Unit]]</f>
        <v>14</v>
      </c>
      <c r="D32" s="5">
        <f>Budget_items[[#This Row],[€ /  Unit + Finishing]]</f>
        <v>14</v>
      </c>
    </row>
    <row r="33" spans="1:4" x14ac:dyDescent="0.3">
      <c r="A33" t="str">
        <f>Budget_items[[#This Row],[Code]]</f>
        <v>1.06.02</v>
      </c>
      <c r="B33" s="3" t="str">
        <f>Budget_items[[#This Row],[Description]]</f>
        <v>Painting color</v>
      </c>
      <c r="C33" s="5">
        <f>Budget_items[[#This Row],[€ /  Unit]]</f>
        <v>19</v>
      </c>
      <c r="D33" s="5">
        <f>Budget_items[[#This Row],[€ /  Unit + Finishing]]</f>
        <v>19</v>
      </c>
    </row>
    <row r="34" spans="1:4" x14ac:dyDescent="0.3">
      <c r="A34" t="str">
        <f>Budget_items[[#This Row],[Code]]</f>
        <v>1.06.03</v>
      </c>
      <c r="B34" s="3" t="str">
        <f>Budget_items[[#This Row],[Description]]</f>
        <v>Doors and frames</v>
      </c>
      <c r="C34" s="5">
        <f>Budget_items[[#This Row],[€ /  Unit]]</f>
        <v>300</v>
      </c>
      <c r="D34" s="5">
        <f>Budget_items[[#This Row],[€ /  Unit + Finishing]]</f>
        <v>300</v>
      </c>
    </row>
    <row r="35" spans="1:4" x14ac:dyDescent="0.3">
      <c r="A35" t="str">
        <f>Budget_items[[#This Row],[Code]]</f>
        <v>1.06.04</v>
      </c>
      <c r="B35" s="3" t="str">
        <f>Budget_items[[#This Row],[Description]]</f>
        <v>Skirting</v>
      </c>
      <c r="C35" s="5">
        <f>Budget_items[[#This Row],[€ /  Unit]]</f>
        <v>8</v>
      </c>
      <c r="D35" s="5">
        <f>Budget_items[[#This Row],[€ /  Unit + Finishing]]</f>
        <v>8</v>
      </c>
    </row>
    <row r="36" spans="1:4" x14ac:dyDescent="0.3">
      <c r="A36" t="str">
        <f>Budget_items[[#This Row],[Code]]</f>
        <v>1.06.05</v>
      </c>
      <c r="B36" s="3" t="str">
        <f>Budget_items[[#This Row],[Description]]</f>
        <v>Painting check / retouch at the end</v>
      </c>
      <c r="C36" s="5">
        <f>Budget_items[[#This Row],[€ /  Unit]]</f>
        <v>500</v>
      </c>
      <c r="D36" s="5">
        <f>Budget_items[[#This Row],[€ /  Unit + Finishing]]</f>
        <v>500</v>
      </c>
    </row>
    <row r="37" spans="1:4" x14ac:dyDescent="0.3">
      <c r="A37" t="str">
        <f>Budget_items[[#This Row],[Code]]</f>
        <v>2.01.01</v>
      </c>
      <c r="B37" s="3" t="str">
        <f>Budget_items[[#This Row],[Description]]</f>
        <v>* Adjusting mechanical installation to layout (no climate ceiling!)</v>
      </c>
      <c r="C37" s="5">
        <f>Budget_items[[#This Row],[€ /  Unit]]</f>
        <v>30</v>
      </c>
      <c r="D37" s="5">
        <f>Budget_items[[#This Row],[€ /  Unit + Finishing]]</f>
        <v>30</v>
      </c>
    </row>
    <row r="38" spans="1:4" x14ac:dyDescent="0.3">
      <c r="A38" t="str">
        <f>Budget_items[[#This Row],[Code]]</f>
        <v>2.01.02</v>
      </c>
      <c r="B38" s="3" t="str">
        <f>Budget_items[[#This Row],[Description]]</f>
        <v>Installation airco unit SER</v>
      </c>
      <c r="C38" s="5">
        <f>Budget_items[[#This Row],[€ /  Unit]]</f>
        <v>5000</v>
      </c>
      <c r="D38" s="5">
        <f>Budget_items[[#This Row],[€ /  Unit + Finishing]]</f>
        <v>5000</v>
      </c>
    </row>
    <row r="39" spans="1:4" x14ac:dyDescent="0.3">
      <c r="A39" t="str">
        <f>Budget_items[[#This Row],[Code]]</f>
        <v>2.01.03</v>
      </c>
      <c r="B39" s="3" t="str">
        <f>Budget_items[[#This Row],[Description]]</f>
        <v>Adjusting plumbing installation for pantry / mothersroom</v>
      </c>
      <c r="C39" s="5">
        <f>Budget_items[[#This Row],[€ /  Unit]]</f>
        <v>1500</v>
      </c>
      <c r="D39" s="5">
        <f>Budget_items[[#This Row],[€ /  Unit + Finishing]]</f>
        <v>1500</v>
      </c>
    </row>
    <row r="40" spans="1:4" x14ac:dyDescent="0.3">
      <c r="A40" t="str">
        <f>Budget_items[[#This Row],[Code]]</f>
        <v>2.02.01</v>
      </c>
      <c r="B40" s="3" t="str">
        <f>Budget_items[[#This Row],[Description]]</f>
        <v>* Adjusting electrical installation to layout (wall sockets, existing lighting)</v>
      </c>
      <c r="C40" s="5">
        <f>Budget_items[[#This Row],[€ /  Unit]]</f>
        <v>45</v>
      </c>
      <c r="D40" s="5">
        <f>Budget_items[[#This Row],[€ /  Unit + Finishing]]</f>
        <v>45</v>
      </c>
    </row>
    <row r="41" spans="1:4" x14ac:dyDescent="0.3">
      <c r="A41" t="str">
        <f>Budget_items[[#This Row],[Code]]</f>
        <v>2.02.02</v>
      </c>
      <c r="B41" s="3" t="str">
        <f>Budget_items[[#This Row],[Description]]</f>
        <v>Installation new lighting installation (led)</v>
      </c>
      <c r="C41" s="5">
        <f>Budget_items[[#This Row],[€ /  Unit]]</f>
        <v>50</v>
      </c>
      <c r="D41" s="5">
        <f>Budget_items[[#This Row],[€ /  Unit + Finishing]]</f>
        <v>50</v>
      </c>
    </row>
    <row r="42" spans="1:4" x14ac:dyDescent="0.3">
      <c r="A42" t="str">
        <f>Budget_items[[#This Row],[Code]]</f>
        <v>2.02.03</v>
      </c>
      <c r="B42" s="3" t="str">
        <f>Budget_items[[#This Row],[Description]]</f>
        <v>Adjusting electrical installation for pantry / mothersroom</v>
      </c>
      <c r="C42" s="5">
        <f>Budget_items[[#This Row],[€ /  Unit]]</f>
        <v>2500</v>
      </c>
      <c r="D42" s="5">
        <f>Budget_items[[#This Row],[€ /  Unit + Finishing]]</f>
        <v>2500</v>
      </c>
    </row>
    <row r="43" spans="1:4" x14ac:dyDescent="0.3">
      <c r="A43" t="str">
        <f>Budget_items[[#This Row],[Code]]</f>
        <v>2.02.04</v>
      </c>
      <c r="B43" s="3" t="str">
        <f>Budget_items[[#This Row],[Description]]</f>
        <v>NEN-EN1010 inspection of electrical installations</v>
      </c>
      <c r="C43" s="5">
        <f>Budget_items[[#This Row],[€ /  Unit]]</f>
        <v>750</v>
      </c>
      <c r="D43" s="5">
        <f>Budget_items[[#This Row],[€ /  Unit + Finishing]]</f>
        <v>750</v>
      </c>
    </row>
    <row r="44" spans="1:4" x14ac:dyDescent="0.3">
      <c r="A44" t="str">
        <f>Budget_items[[#This Row],[Code]]</f>
        <v>2.02.05</v>
      </c>
      <c r="B44" s="3" t="str">
        <f>Budget_items[[#This Row],[Description]]</f>
        <v>Special lighting (project dependent!)</v>
      </c>
      <c r="C44" s="5">
        <f>Budget_items[[#This Row],[€ /  Unit]]</f>
        <v>7500</v>
      </c>
      <c r="D44" s="5">
        <f>Budget_items[[#This Row],[€ /  Unit + Finishing]]</f>
        <v>7500</v>
      </c>
    </row>
    <row r="45" spans="1:4" x14ac:dyDescent="0.3">
      <c r="A45" t="str">
        <f>Budget_items[[#This Row],[Code]]</f>
        <v>2.02.06</v>
      </c>
      <c r="B45" s="3" t="str">
        <f>Budget_items[[#This Row],[Description]]</f>
        <v>Coordination costs (revision, drawings, engineering)</v>
      </c>
      <c r="C45" s="5">
        <f>Budget_items[[#This Row],[€ /  Unit]]</f>
        <v>0</v>
      </c>
      <c r="D45" s="5">
        <f>Budget_items[[#This Row],[€ /  Unit + Finishing]]</f>
        <v>0</v>
      </c>
    </row>
    <row r="46" spans="1:4" x14ac:dyDescent="0.3">
      <c r="A46" t="str">
        <f>Budget_items[[#This Row],[Code]]</f>
        <v>2.03.01</v>
      </c>
      <c r="B46" s="3" t="str">
        <f>Budget_items[[#This Row],[Description]]</f>
        <v>Adjusting data installation to layout (including extra groups)</v>
      </c>
      <c r="C46" s="5">
        <f>Budget_items[[#This Row],[€ /  Unit]]</f>
        <v>100</v>
      </c>
      <c r="D46" s="5">
        <f>Budget_items[[#This Row],[€ /  Unit + Finishing]]</f>
        <v>100</v>
      </c>
    </row>
    <row r="47" spans="1:4" x14ac:dyDescent="0.3">
      <c r="A47" t="str">
        <f>Budget_items[[#This Row],[Code]]</f>
        <v>2.03.02</v>
      </c>
      <c r="B47" s="3" t="str">
        <f>Budget_items[[#This Row],[Description]]</f>
        <v>Installation new data installation</v>
      </c>
      <c r="C47" s="5">
        <f>Budget_items[[#This Row],[€ /  Unit]]</f>
        <v>175</v>
      </c>
      <c r="D47" s="5">
        <f>Budget_items[[#This Row],[€ /  Unit + Finishing]]</f>
        <v>175</v>
      </c>
    </row>
    <row r="48" spans="1:4" x14ac:dyDescent="0.3">
      <c r="A48" t="str">
        <f>Budget_items[[#This Row],[Code]]</f>
        <v>2.04.01</v>
      </c>
      <c r="B48" s="3" t="str">
        <f>Budget_items[[#This Row],[Description]]</f>
        <v>Adjusting access control, intercom and burglary system</v>
      </c>
      <c r="C48" s="5">
        <f>Budget_items[[#This Row],[€ /  Unit]]</f>
        <v>13</v>
      </c>
      <c r="D48" s="5">
        <f>Budget_items[[#This Row],[€ /  Unit + Finishing]]</f>
        <v>13</v>
      </c>
    </row>
    <row r="49" spans="1:4" x14ac:dyDescent="0.3">
      <c r="A49" t="str">
        <f>Budget_items[[#This Row],[Code]]</f>
        <v>2.04.02</v>
      </c>
      <c r="B49" s="3" t="str">
        <f>Budget_items[[#This Row],[Description]]</f>
        <v>Access control per door</v>
      </c>
      <c r="C49" s="5">
        <f>Budget_items[[#This Row],[€ /  Unit]]</f>
        <v>1500</v>
      </c>
      <c r="D49" s="5">
        <f>Budget_items[[#This Row],[€ /  Unit + Finishing]]</f>
        <v>1500</v>
      </c>
    </row>
    <row r="50" spans="1:4" x14ac:dyDescent="0.3">
      <c r="A50" t="str">
        <f>Budget_items[[#This Row],[Code]]</f>
        <v>2.05.01</v>
      </c>
      <c r="B50" s="3" t="str">
        <f>Budget_items[[#This Row],[Description]]</f>
        <v>Adjusting fire safety installation to layout</v>
      </c>
      <c r="C50" s="5">
        <f>Budget_items[[#This Row],[€ /  Unit]]</f>
        <v>10</v>
      </c>
      <c r="D50" s="5">
        <f>Budget_items[[#This Row],[€ /  Unit + Finishing]]</f>
        <v>10</v>
      </c>
    </row>
    <row r="51" spans="1:4" x14ac:dyDescent="0.3">
      <c r="A51" t="str">
        <f>Budget_items[[#This Row],[Code]]</f>
        <v>2.06.01</v>
      </c>
      <c r="B51" s="3" t="str">
        <f>Budget_items[[#This Row],[Description]]</f>
        <v>AV 2-persons room (screen + hdmi)</v>
      </c>
      <c r="C51" s="5">
        <f>Budget_items[[#This Row],[€ /  Unit]]</f>
        <v>2500</v>
      </c>
      <c r="D51" s="5">
        <f>Budget_items[[#This Row],[€ /  Unit + Finishing]]</f>
        <v>2500</v>
      </c>
    </row>
    <row r="52" spans="1:4" x14ac:dyDescent="0.3">
      <c r="A52" t="str">
        <f>Budget_items[[#This Row],[Code]]</f>
        <v>2.06.02</v>
      </c>
      <c r="B52" s="3" t="str">
        <f>Budget_items[[#This Row],[Description]]</f>
        <v>AV 4-10 persons room (screen + hdmi)</v>
      </c>
      <c r="C52" s="5">
        <f>Budget_items[[#This Row],[€ /  Unit]]</f>
        <v>5000</v>
      </c>
      <c r="D52" s="5">
        <f>Budget_items[[#This Row],[€ /  Unit + Finishing]]</f>
        <v>5000</v>
      </c>
    </row>
    <row r="53" spans="1:4" x14ac:dyDescent="0.3">
      <c r="A53" t="str">
        <f>Budget_items[[#This Row],[Code]]</f>
        <v>2.06.03</v>
      </c>
      <c r="B53" s="3" t="str">
        <f>Budget_items[[#This Row],[Description]]</f>
        <v>AV 10-20 persons room (screen + hdmi)</v>
      </c>
      <c r="C53" s="5">
        <f>Budget_items[[#This Row],[€ /  Unit]]</f>
        <v>10000</v>
      </c>
      <c r="D53" s="5">
        <f>Budget_items[[#This Row],[€ /  Unit + Finishing]]</f>
        <v>10000</v>
      </c>
    </row>
    <row r="54" spans="1:4" x14ac:dyDescent="0.3">
      <c r="A54" t="str">
        <f>Budget_items[[#This Row],[Code]]</f>
        <v>2.06.04</v>
      </c>
      <c r="B54" s="3" t="str">
        <f>Budget_items[[#This Row],[Description]]</f>
        <v>Room reservation system</v>
      </c>
      <c r="C54" s="5">
        <f>Budget_items[[#This Row],[€ /  Unit]]</f>
        <v>1200</v>
      </c>
      <c r="D54" s="5">
        <f>Budget_items[[#This Row],[€ /  Unit + Finishing]]</f>
        <v>1200</v>
      </c>
    </row>
    <row r="55" spans="1:4" x14ac:dyDescent="0.3">
      <c r="A55" t="str">
        <f>Budget_items[[#This Row],[Code]]</f>
        <v>3.01.01</v>
      </c>
      <c r="B55" s="3" t="str">
        <f>Budget_items[[#This Row],[Description]]</f>
        <v>Reception desks (average)</v>
      </c>
      <c r="C55" s="5">
        <f>Budget_items[[#This Row],[€ /  Unit]]</f>
        <v>25000</v>
      </c>
      <c r="D55" s="5">
        <f>Budget_items[[#This Row],[€ /  Unit + Finishing]]</f>
        <v>25000</v>
      </c>
    </row>
    <row r="56" spans="1:4" x14ac:dyDescent="0.3">
      <c r="A56" t="str">
        <f>Budget_items[[#This Row],[Code]]</f>
        <v>3.01.02</v>
      </c>
      <c r="B56" s="3" t="str">
        <f>Budget_items[[#This Row],[Description]]</f>
        <v>Pantry including equipment (dishwasher, microwave, fridge)</v>
      </c>
      <c r="C56" s="5">
        <f>Budget_items[[#This Row],[€ /  Unit]]</f>
        <v>20000</v>
      </c>
      <c r="D56" s="5">
        <f>Budget_items[[#This Row],[€ /  Unit + Finishing]]</f>
        <v>20000</v>
      </c>
    </row>
    <row r="57" spans="1:4" x14ac:dyDescent="0.3">
      <c r="A57" t="str">
        <f>Budget_items[[#This Row],[Code]]</f>
        <v>3.01.03</v>
      </c>
      <c r="B57" s="3" t="str">
        <f>Budget_items[[#This Row],[Description]]</f>
        <v>Pantry with bar including equipment (dishwasher, fridges, microwave/oven)</v>
      </c>
      <c r="C57" s="5">
        <f>Budget_items[[#This Row],[€ /  Unit]]</f>
        <v>25000</v>
      </c>
      <c r="D57" s="5">
        <f>Budget_items[[#This Row],[€ /  Unit + Finishing]]</f>
        <v>25000</v>
      </c>
    </row>
    <row r="58" spans="1:4" x14ac:dyDescent="0.3">
      <c r="A58" t="str">
        <f>Budget_items[[#This Row],[Code]]</f>
        <v>3.01.04</v>
      </c>
      <c r="B58" s="3" t="str">
        <f>Budget_items[[#This Row],[Description]]</f>
        <v>Wardrobe element with rod and parcel shelf without doors (ca. 15-20 coats)</v>
      </c>
      <c r="C58" s="5">
        <f>Budget_items[[#This Row],[€ /  Unit]]</f>
        <v>2000</v>
      </c>
      <c r="D58" s="5">
        <f>Budget_items[[#This Row],[€ /  Unit + Finishing]]</f>
        <v>2000</v>
      </c>
    </row>
    <row r="59" spans="1:4" x14ac:dyDescent="0.3">
      <c r="A59" t="str">
        <f>Budget_items[[#This Row],[Code]]</f>
        <v>3.01.05</v>
      </c>
      <c r="B59" s="3" t="str">
        <f>Budget_items[[#This Row],[Description]]</f>
        <v>Wardrobe element with rod and parcel shelf including doors (ca. 15-20 coats)</v>
      </c>
      <c r="C59" s="5">
        <f>Budget_items[[#This Row],[€ /  Unit]]</f>
        <v>3500</v>
      </c>
      <c r="D59" s="5">
        <f>Budget_items[[#This Row],[€ /  Unit + Finishing]]</f>
        <v>3500</v>
      </c>
    </row>
    <row r="60" spans="1:4" x14ac:dyDescent="0.3">
      <c r="A60" t="str">
        <f>Budget_items[[#This Row],[Code]]</f>
        <v>3.01.06</v>
      </c>
      <c r="B60" s="3" t="str">
        <f>Budget_items[[#This Row],[Description]]</f>
        <v>Copy element with shelf</v>
      </c>
      <c r="C60" s="5">
        <f>Budget_items[[#This Row],[€ /  Unit]]</f>
        <v>2000</v>
      </c>
      <c r="D60" s="5">
        <f>Budget_items[[#This Row],[€ /  Unit + Finishing]]</f>
        <v>2000</v>
      </c>
    </row>
    <row r="61" spans="1:4" x14ac:dyDescent="0.3">
      <c r="A61" t="str">
        <f>Budget_items[[#This Row],[Code]]</f>
        <v>3.01.07</v>
      </c>
      <c r="B61" s="3" t="str">
        <f>Budget_items[[#This Row],[Description]]</f>
        <v>Lockers (30 lockers, tagsystem)</v>
      </c>
      <c r="C61" s="5">
        <f>Budget_items[[#This Row],[€ /  Unit]]</f>
        <v>2500</v>
      </c>
      <c r="D61" s="5">
        <f>Budget_items[[#This Row],[€ /  Unit + Finishing]]</f>
        <v>2500</v>
      </c>
    </row>
    <row r="62" spans="1:4" x14ac:dyDescent="0.3">
      <c r="A62" t="str">
        <f>Budget_items[[#This Row],[Code]]</f>
        <v>3.01.08</v>
      </c>
      <c r="B62" s="3" t="str">
        <f>Budget_items[[#This Row],[Description]]</f>
        <v>Coupe seat 4-persons</v>
      </c>
      <c r="C62" s="5">
        <f>Budget_items[[#This Row],[€ /  Unit]]</f>
        <v>5000</v>
      </c>
      <c r="D62" s="5">
        <f>Budget_items[[#This Row],[€ /  Unit + Finishing]]</f>
        <v>5000</v>
      </c>
    </row>
    <row r="63" spans="1:4" x14ac:dyDescent="0.3">
      <c r="A63" t="str">
        <f>Budget_items[[#This Row],[Code]]</f>
        <v>4.01.01</v>
      </c>
      <c r="B63" s="3" t="str">
        <f>Budget_items[[#This Row],[Description]]</f>
        <v>Single desk electrically adjustable + acoustic screen (incl. cablemanagement, wallsocket in worktop)</v>
      </c>
      <c r="C63" s="5">
        <f>Budget_items[[#This Row],[€ /  Unit]]</f>
        <v>750</v>
      </c>
      <c r="D63" s="5">
        <f>Budget_items[[#This Row],[€ /  Unit + Finishing]]</f>
        <v>750</v>
      </c>
    </row>
    <row r="64" spans="1:4" x14ac:dyDescent="0.3">
      <c r="A64" t="str">
        <f>Budget_items[[#This Row],[Code]]</f>
        <v>4.01.02</v>
      </c>
      <c r="B64" s="3" t="str">
        <f>Budget_items[[#This Row],[Description]]</f>
        <v>Duo desk electrically adjustable + acoustic screen (incl. cablemanagement, wallsocket in worktop)</v>
      </c>
      <c r="C64" s="5">
        <f>Budget_items[[#This Row],[€ /  Unit]]</f>
        <v>1250</v>
      </c>
      <c r="D64" s="5">
        <f>Budget_items[[#This Row],[€ /  Unit + Finishing]]</f>
        <v>1250</v>
      </c>
    </row>
    <row r="65" spans="1:4" x14ac:dyDescent="0.3">
      <c r="A65" t="str">
        <f>Budget_items[[#This Row],[Code]]</f>
        <v>4.01.03</v>
      </c>
      <c r="B65" s="3" t="str">
        <f>Budget_items[[#This Row],[Description]]</f>
        <v>Desk chair</v>
      </c>
      <c r="C65" s="5">
        <f>Budget_items[[#This Row],[€ /  Unit]]</f>
        <v>400</v>
      </c>
      <c r="D65" s="5">
        <f>Budget_items[[#This Row],[€ /  Unit + Finishing]]</f>
        <v>400</v>
      </c>
    </row>
    <row r="66" spans="1:4" x14ac:dyDescent="0.3">
      <c r="A66" t="str">
        <f>Budget_items[[#This Row],[Code]]</f>
        <v>4.01.04</v>
      </c>
      <c r="B66" s="3" t="str">
        <f>Budget_items[[#This Row],[Description]]</f>
        <v>Cupboard sliding door 1600 x 1200</v>
      </c>
      <c r="C66" s="5">
        <f>Budget_items[[#This Row],[€ /  Unit]]</f>
        <v>850</v>
      </c>
      <c r="D66" s="5">
        <f>Budget_items[[#This Row],[€ /  Unit + Finishing]]</f>
        <v>850</v>
      </c>
    </row>
    <row r="67" spans="1:4" x14ac:dyDescent="0.3">
      <c r="A67" t="str">
        <f>Budget_items[[#This Row],[Code]]</f>
        <v>4.02.01</v>
      </c>
      <c r="B67" s="3" t="str">
        <f>Budget_items[[#This Row],[Description]]</f>
        <v>Meeting furniture 3-4 persons</v>
      </c>
      <c r="C67" s="5">
        <f>Budget_items[[#This Row],[€ /  Unit]]</f>
        <v>2000</v>
      </c>
      <c r="D67" s="5">
        <f>Budget_items[[#This Row],[€ /  Unit + Finishing]]</f>
        <v>2000</v>
      </c>
    </row>
    <row r="68" spans="1:4" x14ac:dyDescent="0.3">
      <c r="A68" t="str">
        <f>Budget_items[[#This Row],[Code]]</f>
        <v>4.02.02</v>
      </c>
      <c r="B68" s="3" t="str">
        <f>Budget_items[[#This Row],[Description]]</f>
        <v>Meeting furniture 6-8 persons</v>
      </c>
      <c r="C68" s="5">
        <f>Budget_items[[#This Row],[€ /  Unit]]</f>
        <v>3500</v>
      </c>
      <c r="D68" s="5">
        <f>Budget_items[[#This Row],[€ /  Unit + Finishing]]</f>
        <v>3500</v>
      </c>
    </row>
    <row r="69" spans="1:4" x14ac:dyDescent="0.3">
      <c r="A69" t="str">
        <f>Budget_items[[#This Row],[Code]]</f>
        <v>4.02.03</v>
      </c>
      <c r="B69" s="3" t="str">
        <f>Budget_items[[#This Row],[Description]]</f>
        <v>Meeting furniture 12 persons</v>
      </c>
      <c r="C69" s="5">
        <f>Budget_items[[#This Row],[€ /  Unit]]</f>
        <v>12500</v>
      </c>
      <c r="D69" s="5">
        <f>Budget_items[[#This Row],[€ /  Unit + Finishing]]</f>
        <v>12500</v>
      </c>
    </row>
    <row r="70" spans="1:4" x14ac:dyDescent="0.3">
      <c r="A70" t="str">
        <f>Budget_items[[#This Row],[Code]]</f>
        <v>4.02.04</v>
      </c>
      <c r="B70" s="3" t="str">
        <f>Budget_items[[#This Row],[Description]]</f>
        <v>Meeting furniture 20 persons</v>
      </c>
      <c r="C70" s="5">
        <f>Budget_items[[#This Row],[€ /  Unit]]</f>
        <v>15000</v>
      </c>
      <c r="D70" s="5">
        <f>Budget_items[[#This Row],[€ /  Unit + Finishing]]</f>
        <v>15000</v>
      </c>
    </row>
    <row r="71" spans="1:4" x14ac:dyDescent="0.3">
      <c r="A71" t="str">
        <f>Budget_items[[#This Row],[Code]]</f>
        <v>4.03.01</v>
      </c>
      <c r="B71" s="3" t="str">
        <f>Budget_items[[#This Row],[Description]]</f>
        <v>Phoneboot framery</v>
      </c>
      <c r="C71" s="5">
        <f>Budget_items[[#This Row],[€ /  Unit]]</f>
        <v>8500</v>
      </c>
      <c r="D71" s="5">
        <f>Budget_items[[#This Row],[€ /  Unit + Finishing]]</f>
        <v>8500</v>
      </c>
    </row>
    <row r="72" spans="1:4" x14ac:dyDescent="0.3">
      <c r="A72" t="str">
        <f>Budget_items[[#This Row],[Code]]</f>
        <v>4.03.02</v>
      </c>
      <c r="B72" s="3" t="str">
        <f>Budget_items[[#This Row],[Description]]</f>
        <v>Cable cubbies meetingtable</v>
      </c>
      <c r="C72" s="5">
        <f>Budget_items[[#This Row],[€ /  Unit]]</f>
        <v>300</v>
      </c>
      <c r="D72" s="5">
        <f>Budget_items[[#This Row],[€ /  Unit + Finishing]]</f>
        <v>300</v>
      </c>
    </row>
    <row r="73" spans="1:4" x14ac:dyDescent="0.3">
      <c r="A73" t="str">
        <f>Budget_items[[#This Row],[Code]]</f>
        <v>4.03.03</v>
      </c>
      <c r="B73" s="3" t="str">
        <f>Budget_items[[#This Row],[Description]]</f>
        <v>Couch</v>
      </c>
      <c r="C73" s="5">
        <f>Budget_items[[#This Row],[€ /  Unit]]</f>
        <v>3000</v>
      </c>
      <c r="D73" s="5">
        <f>Budget_items[[#This Row],[€ /  Unit + Finishing]]</f>
        <v>3000</v>
      </c>
    </row>
    <row r="74" spans="1:4" x14ac:dyDescent="0.3">
      <c r="A74" t="str">
        <f>Budget_items[[#This Row],[Code]]</f>
        <v>4.03.04</v>
      </c>
      <c r="B74" s="3" t="str">
        <f>Budget_items[[#This Row],[Description]]</f>
        <v>Armchair</v>
      </c>
      <c r="C74" s="5">
        <f>Budget_items[[#This Row],[€ /  Unit]]</f>
        <v>750</v>
      </c>
      <c r="D74" s="5">
        <f>Budget_items[[#This Row],[€ /  Unit + Finishing]]</f>
        <v>750</v>
      </c>
    </row>
    <row r="75" spans="1:4" x14ac:dyDescent="0.3">
      <c r="A75" t="str">
        <f>Budget_items[[#This Row],[Code]]</f>
        <v>4.03.05</v>
      </c>
      <c r="B75" s="3" t="str">
        <f>Budget_items[[#This Row],[Description]]</f>
        <v>Coffee table</v>
      </c>
      <c r="C75" s="5">
        <f>Budget_items[[#This Row],[€ /  Unit]]</f>
        <v>350</v>
      </c>
      <c r="D75" s="5">
        <f>Budget_items[[#This Row],[€ /  Unit + Finishing]]</f>
        <v>350</v>
      </c>
    </row>
    <row r="76" spans="1:4" x14ac:dyDescent="0.3">
      <c r="A76" t="str">
        <f>Budget_items[[#This Row],[Code]]</f>
        <v>4.03.06</v>
      </c>
      <c r="B76" s="3" t="str">
        <f>Budget_items[[#This Row],[Description]]</f>
        <v>Lounge chair</v>
      </c>
      <c r="C76" s="5">
        <f>Budget_items[[#This Row],[€ /  Unit]]</f>
        <v>400</v>
      </c>
      <c r="D76" s="5">
        <f>Budget_items[[#This Row],[€ /  Unit + Finishing]]</f>
        <v>400</v>
      </c>
    </row>
    <row r="77" spans="1:4" x14ac:dyDescent="0.3">
      <c r="A77" t="str">
        <f>Budget_items[[#This Row],[Code]]</f>
        <v>4.03.07</v>
      </c>
      <c r="B77" s="3" t="str">
        <f>Budget_items[[#This Row],[Description]]</f>
        <v>Lunch furniture (pantry / lunch)</v>
      </c>
      <c r="C77" s="5">
        <f>Budget_items[[#This Row],[€ /  Unit]]</f>
        <v>250</v>
      </c>
      <c r="D77" s="5">
        <f>Budget_items[[#This Row],[€ /  Unit + Finishing]]</f>
        <v>250</v>
      </c>
    </row>
    <row r="78" spans="1:4" x14ac:dyDescent="0.3">
      <c r="A78" t="str">
        <f>Budget_items[[#This Row],[Code]]</f>
        <v>5.01.01</v>
      </c>
      <c r="B78" s="3" t="str">
        <f>Budget_items[[#This Row],[Description]]</f>
        <v>Greenery</v>
      </c>
      <c r="C78" s="5">
        <f>Budget_items[[#This Row],[€ /  Unit]]</f>
        <v>6</v>
      </c>
      <c r="D78" s="5">
        <f>Budget_items[[#This Row],[€ /  Unit + Finishing]]</f>
        <v>6</v>
      </c>
    </row>
    <row r="79" spans="1:4" x14ac:dyDescent="0.3">
      <c r="A79" t="str">
        <f>Budget_items[[#This Row],[Code]]</f>
        <v>5.01.02</v>
      </c>
      <c r="B79" s="3" t="str">
        <f>Budget_items[[#This Row],[Description]]</f>
        <v>Waste management, loose coat racks and others</v>
      </c>
      <c r="C79" s="5">
        <f>Budget_items[[#This Row],[€ /  Unit]]</f>
        <v>4</v>
      </c>
      <c r="D79" s="5">
        <f>Budget_items[[#This Row],[€ /  Unit + Finishing]]</f>
        <v>4</v>
      </c>
    </row>
    <row r="80" spans="1:4" x14ac:dyDescent="0.3">
      <c r="A80" t="str">
        <f>Budget_items[[#This Row],[Code]]</f>
        <v>5.01.03</v>
      </c>
      <c r="B80" s="3" t="str">
        <f>Budget_items[[#This Row],[Description]]</f>
        <v>Signing and visuals</v>
      </c>
      <c r="C80" s="5">
        <f>Budget_items[[#This Row],[€ /  Unit]]</f>
        <v>8</v>
      </c>
      <c r="D80" s="5">
        <f>Budget_items[[#This Row],[€ /  Unit + Finishing]]</f>
        <v>8</v>
      </c>
    </row>
    <row r="81" spans="1:4" x14ac:dyDescent="0.3">
      <c r="A81" t="str">
        <f>Budget_items[[#This Row],[Code]]</f>
        <v>5.01.04</v>
      </c>
      <c r="B81" s="3" t="str">
        <f>Budget_items[[#This Row],[Description]]</f>
        <v>Styling</v>
      </c>
      <c r="C81" s="5">
        <f>Budget_items[[#This Row],[€ /  Unit]]</f>
        <v>5</v>
      </c>
      <c r="D81" s="5">
        <f>Budget_items[[#This Row],[€ /  Unit + Finishing]]</f>
        <v>5</v>
      </c>
    </row>
    <row r="82" spans="1:4" x14ac:dyDescent="0.3">
      <c r="A82" t="str">
        <f>Budget_items[[#This Row],[Code]]</f>
        <v>5.01.05</v>
      </c>
      <c r="B82" s="3" t="str">
        <f>Budget_items[[#This Row],[Description]]</f>
        <v>Whiteboardpanel 1000x1200 (joinery)</v>
      </c>
      <c r="C82" s="5">
        <f>Budget_items[[#This Row],[€ /  Unit]]</f>
        <v>500</v>
      </c>
      <c r="D82" s="5">
        <f>Budget_items[[#This Row],[€ /  Unit + Finishing]]</f>
        <v>500</v>
      </c>
    </row>
    <row r="83" spans="1:4" x14ac:dyDescent="0.3">
      <c r="A83" t="str">
        <f>Budget_items[[#This Row],[Code]]</f>
        <v>5.01.06</v>
      </c>
      <c r="B83" s="3" t="str">
        <f>Budget_items[[#This Row],[Description]]</f>
        <v>Rollerblinds</v>
      </c>
      <c r="C83" s="5">
        <f>Budget_items[[#This Row],[€ /  Unit]]</f>
        <v>30000</v>
      </c>
      <c r="D83" s="5">
        <f>Budget_items[[#This Row],[€ /  Unit + Finishing]]</f>
        <v>30000</v>
      </c>
    </row>
    <row r="84" spans="1:4" x14ac:dyDescent="0.3">
      <c r="A84" t="str">
        <f>Budget_items[[#This Row],[Code]]</f>
        <v>6.01.01</v>
      </c>
      <c r="B84" s="3" t="str">
        <f>Budget_items[[#This Row],[Description]]</f>
        <v>Move costs internal</v>
      </c>
      <c r="C84" s="5">
        <f>Budget_items[[#This Row],[€ /  Unit]]</f>
        <v>75</v>
      </c>
      <c r="D84" s="5">
        <f>Budget_items[[#This Row],[€ /  Unit + Finishing]]</f>
        <v>75</v>
      </c>
    </row>
    <row r="85" spans="1:4" x14ac:dyDescent="0.3">
      <c r="A85" t="str">
        <f>Budget_items[[#This Row],[Code]]</f>
        <v>6.01.02</v>
      </c>
      <c r="B85" s="3" t="str">
        <f>Budget_items[[#This Row],[Description]]</f>
        <v>Move costs external</v>
      </c>
      <c r="C85" s="5">
        <f>Budget_items[[#This Row],[€ /  Unit]]</f>
        <v>150</v>
      </c>
      <c r="D85" s="5">
        <f>Budget_items[[#This Row],[€ /  Unit + Finishing]]</f>
        <v>150</v>
      </c>
    </row>
    <row r="86" spans="1:4" x14ac:dyDescent="0.3">
      <c r="A86" t="str">
        <f>Budget_items[[#This Row],[Code]]</f>
        <v>7.01.01</v>
      </c>
      <c r="B86" s="3" t="str">
        <f>Budget_items[[#This Row],[Description]]</f>
        <v>* Project management</v>
      </c>
      <c r="C86" s="5">
        <f>Budget_items[[#This Row],[€ /  Unit]]</f>
        <v>160000</v>
      </c>
      <c r="D86" s="5">
        <f>Budget_items[[#This Row],[€ /  Unit + Finishing]]</f>
        <v>160000</v>
      </c>
    </row>
    <row r="87" spans="1:4" x14ac:dyDescent="0.3">
      <c r="A87" t="str">
        <f>Budget_items[[#This Row],[Code]]</f>
        <v>7.01.02</v>
      </c>
      <c r="B87" s="3" t="str">
        <f>Budget_items[[#This Row],[Description]]</f>
        <v>* MEP consultancy</v>
      </c>
      <c r="C87" s="5">
        <f>Budget_items[[#This Row],[€ /  Unit]]</f>
        <v>15000</v>
      </c>
      <c r="D87" s="5">
        <f>Budget_items[[#This Row],[€ /  Unit + Finishing]]</f>
        <v>15000</v>
      </c>
    </row>
    <row r="88" spans="1:4" x14ac:dyDescent="0.3">
      <c r="A88" t="str">
        <f>Budget_items[[#This Row],[Code]]</f>
        <v>7.01.03</v>
      </c>
      <c r="B88" s="3" t="str">
        <f>Budget_items[[#This Row],[Description]]</f>
        <v>Constructional consultancy</v>
      </c>
      <c r="C88" s="5">
        <f>Budget_items[[#This Row],[€ /  Unit]]</f>
        <v>0</v>
      </c>
      <c r="D88" s="5">
        <f>Budget_items[[#This Row],[€ /  Unit + Finishing]]</f>
        <v>0</v>
      </c>
    </row>
    <row r="89" spans="1:4" x14ac:dyDescent="0.3">
      <c r="A89" t="str">
        <f>Budget_items[[#This Row],[Code]]</f>
        <v>7.01.04</v>
      </c>
      <c r="B89" s="3" t="str">
        <f>Budget_items[[#This Row],[Description]]</f>
        <v>* Design / architect</v>
      </c>
      <c r="C89" s="5">
        <f>Budget_items[[#This Row],[€ /  Unit]]</f>
        <v>70000</v>
      </c>
      <c r="D89" s="5">
        <f>Budget_items[[#This Row],[€ /  Unit + Finishing]]</f>
        <v>70000</v>
      </c>
    </row>
    <row r="90" spans="1:4" x14ac:dyDescent="0.3">
      <c r="A90" t="str">
        <f>Budget_items[[#This Row],[Code]]</f>
        <v>8.01.01</v>
      </c>
      <c r="B90" s="3" t="str">
        <f>Budget_items[[#This Row],[Description]]</f>
        <v>* Contingency (10-15%)</v>
      </c>
      <c r="C90" s="5">
        <f>Budget_items[[#This Row],[€ /  Unit]]</f>
        <v>200000</v>
      </c>
      <c r="D90" s="5">
        <f>Budget_items[[#This Row],[€ /  Unit + Finishing]]</f>
        <v>200000</v>
      </c>
    </row>
    <row r="91" spans="1:4" x14ac:dyDescent="0.3">
      <c r="A91" t="e">
        <f>Budget_items[[#This Row],[Code]]</f>
        <v>#VALUE!</v>
      </c>
      <c r="B91" s="3" t="e">
        <f>Budget_items[[#This Row],[Description]]</f>
        <v>#VALUE!</v>
      </c>
      <c r="C91" s="5" t="e">
        <f>Budget_items[[#This Row],[€ /  Unit]]</f>
        <v>#VALUE!</v>
      </c>
      <c r="D91" s="5" t="e">
        <f>Budget_items[[#This Row],[€ /  Unit + Finishing]]</f>
        <v>#VALUE!</v>
      </c>
    </row>
    <row r="92" spans="1:4" x14ac:dyDescent="0.3">
      <c r="A92" s="32" t="e">
        <f>Budget_items[[#This Row],[Code]]</f>
        <v>#VALUE!</v>
      </c>
      <c r="B92" s="3" t="e">
        <f>Budget_items[[#This Row],[Description]]</f>
        <v>#VALUE!</v>
      </c>
      <c r="C92" s="5" t="e">
        <f>Budget_items[[#This Row],[€ /  Unit]]</f>
        <v>#VALUE!</v>
      </c>
      <c r="D92" s="5" t="e">
        <f>Budget_items[[#This Row],[€ /  Unit + Finishing]]</f>
        <v>#VALUE!</v>
      </c>
    </row>
    <row r="93" spans="1:4" x14ac:dyDescent="0.3">
      <c r="A93" s="32"/>
      <c r="B93" s="3"/>
      <c r="C93" s="5"/>
    </row>
  </sheetData>
  <phoneticPr fontId="3" type="noConversion"/>
  <conditionalFormatting sqref="A2:A92">
    <cfRule type="containsBlanks" dxfId="3" priority="2">
      <formula>LEN(TRIM(A2))=0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5AC9-3946-41BD-AFDA-28B352859758}">
  <dimension ref="A1"/>
  <sheetViews>
    <sheetView showGridLines="0" view="pageLayout" zoomScale="110" zoomScaleNormal="100" zoomScalePageLayoutView="110" workbookViewId="0"/>
  </sheetViews>
  <sheetFormatPr defaultRowHeight="14.4" x14ac:dyDescent="0.3"/>
  <sheetData/>
  <pageMargins left="0.7" right="0.7" top="0.75" bottom="0.75" header="0.3" footer="0.3"/>
  <pageSetup paperSize="9" orientation="portrait" horizontalDpi="300" verticalDpi="300" r:id="rId1"/>
  <headerFooter alignWithMargins="0">
    <oddHeader xml:space="preserve">&amp;LGenerated on: &amp;D &amp;T&amp;C&amp;A &amp;F&amp;R&amp;G
</oddHeader>
    <oddFooter>&amp;R&amp;P/&amp;N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CF71-CD47-4474-8257-86FB7998B0E1}">
  <dimension ref="A1:F21"/>
  <sheetViews>
    <sheetView workbookViewId="0">
      <selection activeCell="C10" sqref="C10"/>
    </sheetView>
  </sheetViews>
  <sheetFormatPr defaultRowHeight="14.4" x14ac:dyDescent="0.3"/>
  <cols>
    <col min="1" max="1" width="29.77734375" bestFit="1" customWidth="1"/>
    <col min="2" max="2" width="35.77734375" bestFit="1" customWidth="1"/>
    <col min="3" max="3" width="29.77734375" bestFit="1" customWidth="1"/>
    <col min="4" max="4" width="12.44140625" bestFit="1" customWidth="1"/>
  </cols>
  <sheetData>
    <row r="1" spans="1:6" x14ac:dyDescent="0.3">
      <c r="C1" s="1" t="s">
        <v>109</v>
      </c>
      <c r="E1" t="s">
        <v>238</v>
      </c>
      <c r="F1" s="31" cm="1">
        <f t="array" ref="F1">_xlfn.IFS(Dashboard!B4=Row!E1,1.1,Dashboard!B4=Row!E2,1,Dashboard!B4=Row!E3,0.95)</f>
        <v>1</v>
      </c>
    </row>
    <row r="2" spans="1:6" x14ac:dyDescent="0.3">
      <c r="A2" t="str" cm="1">
        <f t="array" ref="A2:A9">_xlfn.UNIQUE(Budget_items[Headers])</f>
        <v>01 - CONSTRUCTION COSTS</v>
      </c>
      <c r="B2" t="str" cm="1">
        <f t="array" ref="B2:B21">_xlfn.UNIQUE(Budget_items[Subheaders])</f>
        <v>01.01 - General construction</v>
      </c>
      <c r="C2" t="s">
        <v>5</v>
      </c>
      <c r="E2" t="s">
        <v>239</v>
      </c>
    </row>
    <row r="3" spans="1:6" x14ac:dyDescent="0.3">
      <c r="A3" t="str">
        <v>02 - INSTALLATIONS</v>
      </c>
      <c r="B3" t="str">
        <v>01.02 - Demolition</v>
      </c>
      <c r="C3" t="s">
        <v>6</v>
      </c>
      <c r="E3" t="s">
        <v>241</v>
      </c>
    </row>
    <row r="4" spans="1:6" x14ac:dyDescent="0.3">
      <c r="A4" t="str">
        <v>03 - JOINERY</v>
      </c>
      <c r="B4" t="str">
        <v>01.03 - Partitioning</v>
      </c>
      <c r="C4" t="s">
        <v>15</v>
      </c>
    </row>
    <row r="5" spans="1:6" x14ac:dyDescent="0.3">
      <c r="A5" t="str">
        <v>04 - FURNITURE</v>
      </c>
      <c r="B5" t="str">
        <v>01.04 - Ceiling</v>
      </c>
      <c r="C5" t="s">
        <v>244</v>
      </c>
    </row>
    <row r="6" spans="1:6" x14ac:dyDescent="0.3">
      <c r="A6" t="str">
        <v>05 - INVENTORY AND DECORATIONS</v>
      </c>
      <c r="B6" t="str">
        <v>01.05 - Flooring</v>
      </c>
      <c r="C6" t="s">
        <v>7</v>
      </c>
    </row>
    <row r="7" spans="1:6" x14ac:dyDescent="0.3">
      <c r="A7" t="str">
        <v>06 - OTHERS</v>
      </c>
      <c r="B7" t="str">
        <v>01.06 - Painting</v>
      </c>
      <c r="C7" t="s">
        <v>8</v>
      </c>
    </row>
    <row r="8" spans="1:6" x14ac:dyDescent="0.3">
      <c r="A8" t="str">
        <v>07 - CONSULTANCY COSTS</v>
      </c>
      <c r="B8" t="str">
        <v>02.01 - Mechanical installation &amp; plumbing</v>
      </c>
      <c r="C8" t="s">
        <v>9</v>
      </c>
    </row>
    <row r="9" spans="1:6" x14ac:dyDescent="0.3">
      <c r="A9" t="str">
        <v>08 - CONTINGENCY</v>
      </c>
      <c r="B9" t="str">
        <v>02.02 - Electrical installation</v>
      </c>
      <c r="C9" t="s">
        <v>10</v>
      </c>
    </row>
    <row r="10" spans="1:6" x14ac:dyDescent="0.3">
      <c r="B10" t="str">
        <v>02.03 - Data installation</v>
      </c>
      <c r="C10" t="s">
        <v>11</v>
      </c>
    </row>
    <row r="11" spans="1:6" x14ac:dyDescent="0.3">
      <c r="B11" t="str">
        <v>02.04 - Security installation &amp; access control</v>
      </c>
      <c r="C11" t="s">
        <v>12</v>
      </c>
    </row>
    <row r="12" spans="1:6" x14ac:dyDescent="0.3">
      <c r="B12" t="str">
        <v>02.05 - Fire safety installation</v>
      </c>
      <c r="C12" t="s">
        <v>13</v>
      </c>
    </row>
    <row r="13" spans="1:6" x14ac:dyDescent="0.3">
      <c r="B13" t="str">
        <v>02.06 - Audiovisual installation</v>
      </c>
      <c r="C13" t="s">
        <v>14</v>
      </c>
    </row>
    <row r="14" spans="1:6" x14ac:dyDescent="0.3">
      <c r="B14" t="str">
        <v>03.01 - Joinery</v>
      </c>
    </row>
    <row r="15" spans="1:6" x14ac:dyDescent="0.3">
      <c r="B15" t="str">
        <v>04.01 - Workplace furniture</v>
      </c>
    </row>
    <row r="16" spans="1:6" x14ac:dyDescent="0.3">
      <c r="B16" t="str">
        <v>04.02 - Meeting furniture</v>
      </c>
    </row>
    <row r="17" spans="2:2" x14ac:dyDescent="0.3">
      <c r="B17" t="str">
        <v>04.03 - Loose furniture</v>
      </c>
    </row>
    <row r="18" spans="2:2" x14ac:dyDescent="0.3">
      <c r="B18" t="str">
        <v>05.01 - Inventory &amp; decorations</v>
      </c>
    </row>
    <row r="19" spans="2:2" x14ac:dyDescent="0.3">
      <c r="B19" t="str">
        <v>06.01 - Move</v>
      </c>
    </row>
    <row r="20" spans="2:2" x14ac:dyDescent="0.3">
      <c r="B20" t="str">
        <v>07.01 - Consultancy costs</v>
      </c>
    </row>
    <row r="21" spans="2:2" x14ac:dyDescent="0.3">
      <c r="B21" t="str">
        <v>08.01 - Contingency</v>
      </c>
    </row>
  </sheetData>
  <autoFilter ref="A1:C12" xr:uid="{462BCF71-CD47-4474-8257-86FB7998B0E1}">
    <sortState xmlns:xlrd2="http://schemas.microsoft.com/office/spreadsheetml/2017/richdata2" ref="A2:C21">
      <sortCondition ref="B1:B12"/>
    </sortState>
  </autoFilter>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xmlns="" id="ms-officescript%3A%2F%2Fonedrive_business_itemlink%2F01GH5LK6J6AFEJKRE2HNDK2VXKN6EULAND:ms-officescript%3A%2F%2Fonedrive_business_sharinglink%2Fu!aHR0cHM6Ly9hdmFucy1teS5zaGFyZXBvaW50LmNvbS86dTovZy9wZXJzb25hbC9yZGFfdmFubW9va19zdHVkZW50X2F2YW5zX25sL0VUNEJTSlZFbWp0R3JWYnFiNGxGZ2FNQmdydFRCbU5IN0FKalBBa0h5ZUtnLUE"/>
  <scriptId xmlns="" id="ms-officescript%3A%2F%2Fonedrive_business_itemlink%2F01GH5LK6N3MZXAYNXBYVFLG6L5QQDZOQNL:ms-officescript%3A%2F%2Fonedrive_business_sharinglink%2Fu!aHR0cHM6Ly9hdmFucy1teS5zaGFyZXBvaW50LmNvbS86dTovZy9wZXJzb25hbC9yZGFfdmFubW9va19zdHVkZW50X2F2YW5zX25sL0VidG1iZ3cyNGNWS3MzbDloQWVYUWFzQnp1U1lJQU52UXktZGhiYTdRUmVzdkE"/>
  <scriptId xmlns="" id="ms-officescript%3A%2F%2Fonedrive_business_itemlink%2F01GH5LK6IOZ3NDDYDTTZALNBSQXNFFBBUD:ms-officescript%3A%2F%2Fonedrive_business_sharinglink%2Fu!aHR0cHM6Ly9hdmFucy1teS5zaGFyZXBvaW50LmNvbS86dTovZy9wZXJzb25hbC9yZGFfdmFubW9va19zdHVkZW50X2F2YW5zX25sL0VRN08yakhnYzU1QXRvWlF1MHBRaG9NQmQ3OU5QcGdPVGU0SkR5NVhleGN0U1E"/>
</scriptId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bf08c50-55a2-48b6-89cb-df7c3371f08b">
      <Terms xmlns="http://schemas.microsoft.com/office/infopath/2007/PartnerControls"/>
    </lcf76f155ced4ddcb4097134ff3c332f>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8688EFD39AF6F04ABBEEE3D49B1E5690" ma:contentTypeVersion="11" ma:contentTypeDescription="Een nieuw document maken." ma:contentTypeScope="" ma:versionID="c41a13d2bd4dc14ea44ba2bee770ab38">
  <xsd:schema xmlns:xsd="http://www.w3.org/2001/XMLSchema" xmlns:xs="http://www.w3.org/2001/XMLSchema" xmlns:p="http://schemas.microsoft.com/office/2006/metadata/properties" xmlns:ns2="dbf08c50-55a2-48b6-89cb-df7c3371f08b" targetNamespace="http://schemas.microsoft.com/office/2006/metadata/properties" ma:root="true" ma:fieldsID="522c96f8def00d875c67baf5cfb0d2b1" ns2:_="">
    <xsd:import namespace="dbf08c50-55a2-48b6-89cb-df7c3371f0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f08c50-55a2-48b6-89cb-df7c3371f0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bbc12d8d-c97a-4a38-bef5-46718563464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5595F7-38C9-4CA3-A406-D9F1DACCCF1A}">
  <ds:schemaRefs>
    <ds:schemaRef ds:uri="http://schemas.microsoft.com/office/extensibility/maker/v1.0"/>
    <ds:schemaRef ds:uri=""/>
  </ds:schemaRefs>
</ds:datastoreItem>
</file>

<file path=customXml/itemProps2.xml><?xml version="1.0" encoding="utf-8"?>
<ds:datastoreItem xmlns:ds="http://schemas.openxmlformats.org/officeDocument/2006/customXml" ds:itemID="{7B2B209E-8E4A-4E2E-9987-C1F48B5ED08B}">
  <ds:schemaRefs>
    <ds:schemaRef ds:uri="http://schemas.microsoft.com/sharepoint/v3/contenttype/forms"/>
  </ds:schemaRefs>
</ds:datastoreItem>
</file>

<file path=customXml/itemProps3.xml><?xml version="1.0" encoding="utf-8"?>
<ds:datastoreItem xmlns:ds="http://schemas.openxmlformats.org/officeDocument/2006/customXml" ds:itemID="{48E0ED22-FB31-4DFB-9333-E886B5001525}">
  <ds:schemaRefs>
    <ds:schemaRef ds:uri="http://schemas.microsoft.com/DataMashup"/>
  </ds:schemaRefs>
</ds:datastoreItem>
</file>

<file path=customXml/itemProps4.xml><?xml version="1.0" encoding="utf-8"?>
<ds:datastoreItem xmlns:ds="http://schemas.openxmlformats.org/officeDocument/2006/customXml" ds:itemID="{D088D2EC-6268-423C-8EDC-611D775C522A}">
  <ds:schemaRefs>
    <ds:schemaRef ds:uri="http://schemas.microsoft.com/office/2006/documentManagement/types"/>
    <ds:schemaRef ds:uri="http://www.w3.org/XML/1998/namespace"/>
    <ds:schemaRef ds:uri="http://purl.org/dc/dcmitype/"/>
    <ds:schemaRef ds:uri="http://schemas.openxmlformats.org/package/2006/metadata/core-properties"/>
    <ds:schemaRef ds:uri="http://schemas.microsoft.com/office/infopath/2007/PartnerControls"/>
    <ds:schemaRef ds:uri="http://purl.org/dc/elements/1.1/"/>
    <ds:schemaRef ds:uri="http://purl.org/dc/terms/"/>
    <ds:schemaRef ds:uri="dbf08c50-55a2-48b6-89cb-df7c3371f08b"/>
    <ds:schemaRef ds:uri="http://schemas.microsoft.com/office/2006/metadata/properties"/>
  </ds:schemaRefs>
</ds:datastoreItem>
</file>

<file path=customXml/itemProps5.xml><?xml version="1.0" encoding="utf-8"?>
<ds:datastoreItem xmlns:ds="http://schemas.openxmlformats.org/officeDocument/2006/customXml" ds:itemID="{41A6D55E-CFB3-438F-B2DA-63AF82FF76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f08c50-55a2-48b6-89cb-df7c3371f0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7</vt:i4>
      </vt:variant>
      <vt:variant>
        <vt:lpstr>Benoemde bereiken</vt:lpstr>
      </vt:variant>
      <vt:variant>
        <vt:i4>2</vt:i4>
      </vt:variant>
    </vt:vector>
  </HeadingPairs>
  <TitlesOfParts>
    <vt:vector size="9" baseType="lpstr">
      <vt:lpstr>Dashboard</vt:lpstr>
      <vt:lpstr>Blad2</vt:lpstr>
      <vt:lpstr>Budget</vt:lpstr>
      <vt:lpstr>Data entry</vt:lpstr>
      <vt:lpstr>Eenheidsprijzenoverzicht</vt:lpstr>
      <vt:lpstr>Report</vt:lpstr>
      <vt:lpstr>Row</vt:lpstr>
      <vt:lpstr>Dashboard!Afdrukbereik</vt:lpstr>
      <vt:lpstr>Report!Afdrukbereik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 van Mook</cp:lastModifiedBy>
  <cp:revision/>
  <dcterms:created xsi:type="dcterms:W3CDTF">2025-01-05T11:08:09Z</dcterms:created>
  <dcterms:modified xsi:type="dcterms:W3CDTF">2025-01-13T09:23:35Z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0x0101008688EFD39AF6F04ABBEEE3D49B1E5690</vt:lpwstr>
  </property>
  <property fmtid="{D5CDD505-2E9C-101B-9397-08002B2CF9AE}" pid="3" name="MediaServiceImageTags">
    <vt:lpwstr/>
  </property>
</Properties>
</file>